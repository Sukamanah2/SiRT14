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pivotTables/pivotTable3.xml" ContentType="application/vnd.openxmlformats-officedocument.spreadsheetml.pivotTable+xml"/>
  <Override PartName="/xl/drawings/drawing1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1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2026\"/>
    </mc:Choice>
  </mc:AlternateContent>
  <xr:revisionPtr revIDLastSave="0" documentId="8_{7D5F4931-C3AA-5745-B368-EE8EC97E5490}" xr6:coauthVersionLast="47" xr6:coauthVersionMax="47" xr10:uidLastSave="{00000000-0000-0000-0000-000000000000}"/>
  <bookViews>
    <workbookView xWindow="-108" yWindow="-108" windowWidth="23256" windowHeight="12456" tabRatio="881" firstSheet="2" activeTab="2" xr2:uid="{00000000-000D-0000-FFFF-FFFF00000000}"/>
  </bookViews>
  <sheets>
    <sheet name="PIVOT 1" sheetId="48" state="hidden" r:id="rId1"/>
    <sheet name="pivot" sheetId="52" state="hidden" r:id="rId2"/>
    <sheet name="RESUME" sheetId="67" r:id="rId3"/>
    <sheet name="JANUARI" sheetId="83" r:id="rId4"/>
    <sheet name="FEB" sheetId="72" r:id="rId5"/>
    <sheet name="MAR" sheetId="73" r:id="rId6"/>
    <sheet name="APR" sheetId="74" r:id="rId7"/>
    <sheet name="MEI" sheetId="75" r:id="rId8"/>
    <sheet name="JUNI" sheetId="76" r:id="rId9"/>
    <sheet name="JULI" sheetId="77" r:id="rId10"/>
    <sheet name="AGUSTUS" sheetId="78" r:id="rId11"/>
    <sheet name="SEPTEMBER" sheetId="79" r:id="rId12"/>
    <sheet name="OKTOBER" sheetId="80" r:id="rId13"/>
    <sheet name="NOVEMBER" sheetId="81" r:id="rId14"/>
    <sheet name="DESEMBER" sheetId="82" r:id="rId15"/>
    <sheet name="PIVOT 2" sheetId="55" state="hidden" r:id="rId16"/>
    <sheet name="PIVOT 3" sheetId="56" state="hidden" r:id="rId17"/>
  </sheets>
  <externalReferences>
    <externalReference r:id="rId18"/>
    <externalReference r:id="rId19"/>
    <externalReference r:id="rId20"/>
  </externalReferences>
  <definedNames>
    <definedName name="coa">#REF!</definedName>
    <definedName name="daredeath">#REF!</definedName>
    <definedName name="debet">#REF!</definedName>
    <definedName name="GOAL">'[1]2. NERACA LAJUR '!$A:$A</definedName>
    <definedName name="KK">[2]ALL!$Z$1:$Z$65536</definedName>
    <definedName name="kredit">#REF!</definedName>
    <definedName name="Mar">#REF!</definedName>
    <definedName name="maret">#REF!</definedName>
    <definedName name="NERACAlAJUR_AKUN">'[3]2. NERACA LAJUR '!$A:$A</definedName>
    <definedName name="neracalajur_awal_kredit">'[3]2. NERACA LAJUR '!$C:$C</definedName>
    <definedName name="NERACALAJUR_SALDOAKHIR_DEBET">'[3]2. NERACA LAJUR '!$L:$L</definedName>
    <definedName name="NERACALAJUR_SALDOAKHIR_KREDIT">'[3]2. NERACA LAJUR '!$M:$M</definedName>
    <definedName name="Nercalajur_awal_debet">'[3]2. NERACA LAJUR '!$B:$B</definedName>
    <definedName name="PR">[2]ALL!$U$1:$U$65536</definedName>
    <definedName name="tes">#REF!</definedName>
    <definedName name="tess">#REF!</definedName>
    <definedName name="TGL">[2]ALL!$D$1:$D$65536</definedName>
  </definedNames>
  <calcPr calcId="191028"/>
  <pivotCaches>
    <pivotCache cacheId="0" r:id="rId21"/>
    <pivotCache cacheId="1" r:id="rId22"/>
    <pivotCache cacheId="2" r:id="rId23"/>
    <pivotCache cacheId="3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67" l="1"/>
  <c r="J11" i="67"/>
  <c r="I7" i="67"/>
  <c r="F30" i="76"/>
  <c r="F29" i="76"/>
  <c r="F28" i="76"/>
  <c r="F27" i="76"/>
  <c r="F26" i="76"/>
  <c r="F25" i="76"/>
  <c r="F24" i="76"/>
  <c r="F23" i="76"/>
  <c r="F22" i="76"/>
  <c r="F21" i="76"/>
  <c r="F20" i="76"/>
  <c r="G31" i="75"/>
  <c r="E31" i="75"/>
  <c r="F31" i="75"/>
  <c r="F30" i="75"/>
  <c r="F29" i="75"/>
  <c r="G16" i="67"/>
  <c r="F28" i="75"/>
  <c r="G15" i="67"/>
  <c r="F27" i="75"/>
  <c r="F26" i="75"/>
  <c r="F25" i="75"/>
  <c r="G12" i="67"/>
  <c r="F24" i="75"/>
  <c r="G11" i="67"/>
  <c r="F23" i="75"/>
  <c r="G10" i="67"/>
  <c r="F22" i="75"/>
  <c r="G9" i="67"/>
  <c r="F21" i="75"/>
  <c r="G8" i="67"/>
  <c r="F20" i="75"/>
  <c r="G7" i="67"/>
  <c r="F24" i="74"/>
  <c r="G31" i="74"/>
  <c r="F25" i="74"/>
  <c r="F11" i="67"/>
  <c r="F30" i="74"/>
  <c r="F29" i="74"/>
  <c r="F28" i="74"/>
  <c r="F15" i="67"/>
  <c r="F27" i="74"/>
  <c r="F14" i="67"/>
  <c r="F26" i="74"/>
  <c r="F13" i="67"/>
  <c r="F12" i="67"/>
  <c r="F23" i="74"/>
  <c r="F10" i="67"/>
  <c r="F22" i="74"/>
  <c r="F21" i="74"/>
  <c r="F20" i="74"/>
  <c r="F7" i="67"/>
  <c r="G31" i="73"/>
  <c r="G31" i="72"/>
  <c r="F30" i="72"/>
  <c r="D17" i="67"/>
  <c r="F29" i="72"/>
  <c r="D16" i="67"/>
  <c r="F28" i="72"/>
  <c r="F27" i="72"/>
  <c r="F26" i="72"/>
  <c r="D13" i="67"/>
  <c r="F25" i="72"/>
  <c r="F24" i="72"/>
  <c r="D11" i="67"/>
  <c r="F23" i="72"/>
  <c r="F22" i="72"/>
  <c r="D9" i="67"/>
  <c r="F21" i="72"/>
  <c r="D8" i="67"/>
  <c r="F20" i="72"/>
  <c r="C18" i="67"/>
  <c r="C8" i="67"/>
  <c r="C9" i="67"/>
  <c r="C10" i="67"/>
  <c r="C11" i="67"/>
  <c r="C12" i="67"/>
  <c r="C13" i="67"/>
  <c r="C14" i="67"/>
  <c r="C15" i="67"/>
  <c r="C16" i="67"/>
  <c r="C17" i="67"/>
  <c r="C7" i="67"/>
  <c r="C5" i="67"/>
  <c r="F23" i="83"/>
  <c r="F28" i="83"/>
  <c r="F27" i="83"/>
  <c r="F26" i="83"/>
  <c r="F25" i="83"/>
  <c r="F24" i="83"/>
  <c r="F22" i="83"/>
  <c r="F21" i="83"/>
  <c r="F20" i="83"/>
  <c r="D7" i="67"/>
  <c r="E7" i="67"/>
  <c r="H7" i="67"/>
  <c r="J7" i="67"/>
  <c r="K7" i="67"/>
  <c r="L7" i="67"/>
  <c r="M7" i="67"/>
  <c r="N7" i="67"/>
  <c r="E8" i="67"/>
  <c r="F8" i="67"/>
  <c r="H8" i="67"/>
  <c r="I8" i="67"/>
  <c r="J8" i="67"/>
  <c r="K8" i="67"/>
  <c r="L8" i="67"/>
  <c r="M8" i="67"/>
  <c r="N8" i="67"/>
  <c r="E9" i="67"/>
  <c r="F9" i="67"/>
  <c r="H9" i="67"/>
  <c r="I9" i="67"/>
  <c r="J9" i="67"/>
  <c r="K9" i="67"/>
  <c r="L9" i="67"/>
  <c r="M9" i="67"/>
  <c r="N9" i="67"/>
  <c r="D10" i="67"/>
  <c r="E10" i="67"/>
  <c r="I10" i="67"/>
  <c r="K10" i="67"/>
  <c r="L10" i="67"/>
  <c r="M10" i="67"/>
  <c r="N10" i="67"/>
  <c r="E11" i="67"/>
  <c r="I11" i="67"/>
  <c r="K11" i="67"/>
  <c r="L11" i="67"/>
  <c r="M11" i="67"/>
  <c r="N11" i="67"/>
  <c r="D12" i="67"/>
  <c r="E12" i="67"/>
  <c r="H12" i="67"/>
  <c r="I12" i="67"/>
  <c r="J12" i="67"/>
  <c r="K12" i="67"/>
  <c r="L12" i="67"/>
  <c r="M12" i="67"/>
  <c r="N12" i="67"/>
  <c r="E13" i="67"/>
  <c r="G13" i="67"/>
  <c r="I13" i="67"/>
  <c r="J13" i="67"/>
  <c r="K13" i="67"/>
  <c r="L13" i="67"/>
  <c r="M13" i="67"/>
  <c r="N13" i="67"/>
  <c r="D14" i="67"/>
  <c r="E14" i="67"/>
  <c r="G14" i="67"/>
  <c r="H14" i="67"/>
  <c r="I14" i="67"/>
  <c r="J14" i="67"/>
  <c r="K14" i="67"/>
  <c r="L14" i="67"/>
  <c r="M14" i="67"/>
  <c r="N14" i="67"/>
  <c r="D15" i="67"/>
  <c r="E15" i="67"/>
  <c r="H15" i="67"/>
  <c r="I15" i="67"/>
  <c r="J15" i="67"/>
  <c r="K15" i="67"/>
  <c r="L15" i="67"/>
  <c r="M15" i="67"/>
  <c r="N15" i="67"/>
  <c r="E16" i="67"/>
  <c r="F16" i="67"/>
  <c r="I16" i="67"/>
  <c r="J16" i="67"/>
  <c r="K16" i="67"/>
  <c r="L16" i="67"/>
  <c r="M16" i="67"/>
  <c r="N16" i="67"/>
  <c r="E17" i="67"/>
  <c r="F17" i="67"/>
  <c r="G17" i="67"/>
  <c r="I17" i="67"/>
  <c r="J17" i="67"/>
  <c r="J18" i="67"/>
  <c r="K17" i="67"/>
  <c r="L17" i="67"/>
  <c r="M17" i="67"/>
  <c r="N17" i="67"/>
  <c r="F29" i="83"/>
  <c r="D16" i="83"/>
  <c r="E19" i="83"/>
  <c r="E31" i="83"/>
  <c r="H17" i="67"/>
  <c r="H16" i="67"/>
  <c r="H13" i="67"/>
  <c r="H11" i="67"/>
  <c r="H10" i="67"/>
  <c r="I18" i="67"/>
  <c r="K18" i="67"/>
  <c r="F31" i="83"/>
  <c r="G31" i="83"/>
  <c r="L18" i="67"/>
  <c r="M18" i="67"/>
  <c r="F31" i="82"/>
  <c r="N18" i="67"/>
  <c r="D16" i="82"/>
  <c r="N5" i="67"/>
  <c r="D16" i="81"/>
  <c r="E19" i="81"/>
  <c r="D16" i="80"/>
  <c r="E19" i="80"/>
  <c r="F31" i="79"/>
  <c r="D16" i="79"/>
  <c r="D16" i="78"/>
  <c r="E19" i="78"/>
  <c r="F31" i="77"/>
  <c r="D16" i="77"/>
  <c r="E19" i="77"/>
  <c r="F31" i="76"/>
  <c r="H18" i="67"/>
  <c r="D16" i="76"/>
  <c r="E19" i="76"/>
  <c r="D16" i="75"/>
  <c r="F31" i="74"/>
  <c r="F18" i="67"/>
  <c r="D16" i="74"/>
  <c r="D16" i="73"/>
  <c r="D16" i="72"/>
  <c r="E19" i="73"/>
  <c r="E31" i="73"/>
  <c r="E5" i="67"/>
  <c r="E19" i="74"/>
  <c r="E31" i="74"/>
  <c r="F5" i="67"/>
  <c r="E19" i="75"/>
  <c r="G5" i="67"/>
  <c r="E31" i="76"/>
  <c r="G31" i="76"/>
  <c r="H5" i="67"/>
  <c r="E31" i="77"/>
  <c r="G31" i="77"/>
  <c r="I5" i="67"/>
  <c r="E31" i="78"/>
  <c r="J5" i="67"/>
  <c r="E19" i="79"/>
  <c r="E31" i="79"/>
  <c r="K5" i="67"/>
  <c r="E19" i="72"/>
  <c r="E31" i="72"/>
  <c r="D5" i="67"/>
  <c r="E31" i="80"/>
  <c r="L5" i="67"/>
  <c r="E31" i="81"/>
  <c r="M5" i="67"/>
  <c r="E19" i="82"/>
  <c r="E31" i="82"/>
  <c r="G31" i="82"/>
  <c r="F31" i="81"/>
  <c r="G31" i="81"/>
  <c r="F31" i="80"/>
  <c r="G31" i="80"/>
  <c r="G31" i="79"/>
  <c r="I19" i="67"/>
  <c r="J19" i="67"/>
  <c r="F31" i="78"/>
  <c r="G31" i="78"/>
  <c r="G33" i="78"/>
  <c r="O17" i="67"/>
  <c r="F31" i="73"/>
  <c r="F31" i="72"/>
  <c r="D18" i="67"/>
  <c r="O16" i="67"/>
  <c r="E18" i="67"/>
  <c r="G18" i="67"/>
  <c r="L19" i="67"/>
  <c r="O18" i="67"/>
  <c r="O5" i="67"/>
  <c r="N19" i="67"/>
  <c r="M19" i="67"/>
  <c r="K19" i="67"/>
  <c r="O14" i="67"/>
  <c r="H19" i="67"/>
  <c r="G19" i="67"/>
  <c r="F19" i="67"/>
  <c r="E19" i="67"/>
  <c r="O15" i="67"/>
  <c r="O13" i="67"/>
  <c r="O10" i="67"/>
  <c r="O8" i="67"/>
  <c r="O9" i="67"/>
  <c r="O12" i="67"/>
  <c r="O11" i="67"/>
  <c r="D19" i="67"/>
  <c r="C19" i="67"/>
  <c r="O19" i="67"/>
  <c r="O7" i="67"/>
</calcChain>
</file>

<file path=xl/sharedStrings.xml><?xml version="1.0" encoding="utf-8"?>
<sst xmlns="http://schemas.openxmlformats.org/spreadsheetml/2006/main" count="916" uniqueCount="183">
  <si>
    <t>SEPTEMBER</t>
  </si>
  <si>
    <t>MAY</t>
  </si>
  <si>
    <t>APRIL</t>
  </si>
  <si>
    <t>JUNE</t>
  </si>
  <si>
    <t>WALK-IN</t>
  </si>
  <si>
    <t>DRAGON PASS</t>
  </si>
  <si>
    <t>HSBC</t>
  </si>
  <si>
    <t>BJB</t>
  </si>
  <si>
    <t>QRIS</t>
  </si>
  <si>
    <t>JULY</t>
  </si>
  <si>
    <t>AUGUST</t>
  </si>
  <si>
    <t>OCBC</t>
  </si>
  <si>
    <t>PRIOTIY PASS</t>
  </si>
  <si>
    <t>VIETJET</t>
  </si>
  <si>
    <t>Row Labels</t>
  </si>
  <si>
    <t>Grand Total</t>
  </si>
  <si>
    <t>Jul</t>
  </si>
  <si>
    <t>Aug</t>
  </si>
  <si>
    <t>Jun</t>
  </si>
  <si>
    <t>May</t>
  </si>
  <si>
    <t>Sum of TOTAL PAX</t>
  </si>
  <si>
    <t>Sum of TOTAL PRICE</t>
  </si>
  <si>
    <t>VIPROOM</t>
  </si>
  <si>
    <t>Column Labels</t>
  </si>
  <si>
    <t>Total Sum of TOTAL PAX</t>
  </si>
  <si>
    <t>Total Sum of TOTAL PRICE</t>
  </si>
  <si>
    <t>NO</t>
  </si>
  <si>
    <t>ITEM</t>
  </si>
  <si>
    <t>TOTAL</t>
  </si>
  <si>
    <t>JANUARI</t>
  </si>
  <si>
    <t>FEBRUARI</t>
  </si>
  <si>
    <t>MARET</t>
  </si>
  <si>
    <t>MEI</t>
  </si>
  <si>
    <t>JUNI</t>
  </si>
  <si>
    <t>JULI</t>
  </si>
  <si>
    <t>AGUSTUS</t>
  </si>
  <si>
    <t>OKTOBER</t>
  </si>
  <si>
    <t>NOVEMBER</t>
  </si>
  <si>
    <t>DESEMBER</t>
  </si>
  <si>
    <t>SUKAMANAH 2</t>
  </si>
  <si>
    <t>LAPORAN KEUANGAN UMUM RT.014</t>
  </si>
  <si>
    <t>TANGGAL</t>
  </si>
  <si>
    <t>TRANSAKSI</t>
  </si>
  <si>
    <t xml:space="preserve"> JUMLAH IURAN </t>
  </si>
  <si>
    <t xml:space="preserve"> MASUK </t>
  </si>
  <si>
    <t>KELUAR</t>
  </si>
  <si>
    <t>KETERANGAN</t>
  </si>
  <si>
    <t>NAMA HUMAS</t>
  </si>
  <si>
    <t xml:space="preserve"> JUMLAH IURAN WAJIB </t>
  </si>
  <si>
    <t>IURAN WAJIB WARGA</t>
  </si>
  <si>
    <t>KEBERSIHAN &amp; KEAMANAN</t>
  </si>
  <si>
    <t>WAHONO</t>
  </si>
  <si>
    <t>RUKEM</t>
  </si>
  <si>
    <t>UUD</t>
  </si>
  <si>
    <t>KAS SOSIAL</t>
  </si>
  <si>
    <t>ANDI</t>
  </si>
  <si>
    <t>KAS AIR</t>
  </si>
  <si>
    <t>KAS OLAHRAGA</t>
  </si>
  <si>
    <t>KAS UMUM</t>
  </si>
  <si>
    <t xml:space="preserve"> Disusun Oleh </t>
  </si>
  <si>
    <t>Bendahara</t>
  </si>
  <si>
    <t xml:space="preserve"> Sekretaris </t>
  </si>
  <si>
    <t>Rambat Iryanto</t>
  </si>
  <si>
    <t>Disetujui Oleh</t>
  </si>
  <si>
    <t>Ketua RT.014</t>
  </si>
  <si>
    <t>Sujianto</t>
  </si>
  <si>
    <t>KAS KARANG TARUNA</t>
  </si>
  <si>
    <t>KAS PERANGKAT</t>
  </si>
  <si>
    <t>SISA ALOKASI</t>
  </si>
  <si>
    <t>-KEBERSIHAN DAN KEAMANAN</t>
  </si>
  <si>
    <t>-KAS AIR</t>
  </si>
  <si>
    <t>-KAS SOSIAL</t>
  </si>
  <si>
    <t>-RUKEM</t>
  </si>
  <si>
    <t>b.COST</t>
  </si>
  <si>
    <t>a.IURAN WAJIB WARGA</t>
  </si>
  <si>
    <t>c.TOTAL COST</t>
  </si>
  <si>
    <t>-MT NURUSSHOLIHAT</t>
  </si>
  <si>
    <t>-KAS OLAHRAGA</t>
  </si>
  <si>
    <t>-KR TARUNA</t>
  </si>
  <si>
    <t>-KAS PERANGKAT</t>
  </si>
  <si>
    <t>KAS UMUM RT 14</t>
  </si>
  <si>
    <t>Ardi</t>
  </si>
  <si>
    <t>KAS MT NURUSHOLIHAH</t>
  </si>
  <si>
    <t>-MT AL-MUSTAQIMIN</t>
  </si>
  <si>
    <t>KAS MT Al-MUSTAQIMIN</t>
  </si>
  <si>
    <t/>
  </si>
  <si>
    <t>RT 14 RW 12</t>
  </si>
  <si>
    <t>JUMLAH WARGA : 66 KK</t>
  </si>
  <si>
    <t>66X10.000</t>
  </si>
  <si>
    <t>53X28.000</t>
  </si>
  <si>
    <t>FAHRUL</t>
  </si>
  <si>
    <t>DANA PEMBANGUNAN</t>
  </si>
  <si>
    <t>-DANA PEMBANGUNAN</t>
  </si>
  <si>
    <t>Dilaporkan Oleh</t>
  </si>
  <si>
    <t xml:space="preserve">Diketahui Oleh </t>
  </si>
  <si>
    <t>Ketua Humas</t>
  </si>
  <si>
    <t xml:space="preserve">UUD </t>
  </si>
  <si>
    <t>RUKEM :59 KK</t>
  </si>
  <si>
    <t>66X30.000</t>
  </si>
  <si>
    <t>66X3.000</t>
  </si>
  <si>
    <t>59X5.000</t>
  </si>
  <si>
    <t>MUSLIM : 58 KK (1 TIDAK IKUT RUKEM)</t>
  </si>
  <si>
    <t>OPERASIONAL RT</t>
  </si>
  <si>
    <t>(28.000X7)+66.000</t>
  </si>
  <si>
    <t xml:space="preserve">-OPERASIONAL RT </t>
  </si>
  <si>
    <t>- Anak Yatim : 100.000</t>
  </si>
  <si>
    <t xml:space="preserve">     '-Rukem : 280:000</t>
  </si>
  <si>
    <t xml:space="preserve">     '-Ambulance : 56.000</t>
  </si>
  <si>
    <t xml:space="preserve">   Total Rukem : 336.000</t>
  </si>
  <si>
    <t>NON MUSLIM : 7 KK (2 IKUT RUKEM)</t>
  </si>
  <si>
    <t>PERIODE APRIL 2025</t>
  </si>
  <si>
    <t>JUMLAH WARGA : 64 KK</t>
  </si>
  <si>
    <t>RUKEM :57 KK</t>
  </si>
  <si>
    <t>MUSLIM : 57 KK (1 TIDAK IKUT RUKEM)</t>
  </si>
  <si>
    <t>64X30.000</t>
  </si>
  <si>
    <t>64X10.000</t>
  </si>
  <si>
    <t>57X6.000</t>
  </si>
  <si>
    <t>57X5000</t>
  </si>
  <si>
    <t>64X3.000</t>
  </si>
  <si>
    <t>(28.000X7)+64.000</t>
  </si>
  <si>
    <t>49X5.000</t>
  </si>
  <si>
    <t>51X28.000</t>
  </si>
  <si>
    <t>PERIODE MEI 2025</t>
  </si>
  <si>
    <t>PERIODE JUNI 2025</t>
  </si>
  <si>
    <t>- Kas Sosial : 540.000</t>
  </si>
  <si>
    <t xml:space="preserve">Catatan : Total Kas Sosial 640.000 </t>
  </si>
  <si>
    <t>PERIODE JULI 2025</t>
  </si>
  <si>
    <t>PERIODE AGUSTUS 2025</t>
  </si>
  <si>
    <t>JUMLAH WARGA : 65 KK</t>
  </si>
  <si>
    <t>(28.000X7)+65.000</t>
  </si>
  <si>
    <t>Rukem bapak Anwar</t>
  </si>
  <si>
    <t>52X28.000</t>
  </si>
  <si>
    <t>65X30.000</t>
  </si>
  <si>
    <t>65X10.000</t>
  </si>
  <si>
    <t>59X6.000</t>
  </si>
  <si>
    <t>58X5000</t>
  </si>
  <si>
    <t>65X3.000</t>
  </si>
  <si>
    <t>SISA</t>
  </si>
  <si>
    <t>PERIODE SEPTEMBER 2025</t>
  </si>
  <si>
    <t>MUSLIM : 57 KK</t>
  </si>
  <si>
    <t>57X5.000</t>
  </si>
  <si>
    <t>PERIODE OKTOBER 2025</t>
  </si>
  <si>
    <t>MUSLIM : 58 KK</t>
  </si>
  <si>
    <t>NON MUSLIM : 6 KK (2 IKUT RUKEM)</t>
  </si>
  <si>
    <t>RUKEM :60 KK</t>
  </si>
  <si>
    <t>60X5.000</t>
  </si>
  <si>
    <t>58X5.000</t>
  </si>
  <si>
    <t>PERIODE NOVEMBER 2025</t>
  </si>
  <si>
    <t xml:space="preserve">     '-Ambulance : 60.000</t>
  </si>
  <si>
    <t>11/31/2025</t>
  </si>
  <si>
    <t>9/31/2025</t>
  </si>
  <si>
    <t xml:space="preserve">   Total Rukem : 300.000</t>
  </si>
  <si>
    <t>RUKEM :61 KK</t>
  </si>
  <si>
    <t>MUSLIM : 59 KK</t>
  </si>
  <si>
    <t>61X5.000</t>
  </si>
  <si>
    <t>50X5.000</t>
  </si>
  <si>
    <t xml:space="preserve">     '-Rukem : 300.000</t>
  </si>
  <si>
    <t xml:space="preserve">     '-Rukem : 306.000</t>
  </si>
  <si>
    <t xml:space="preserve">   Total Rukem : 366.000</t>
  </si>
  <si>
    <t xml:space="preserve">Catatan : Total Kas Sosial 650.000 </t>
  </si>
  <si>
    <t>- Kas Sosial : 550.000</t>
  </si>
  <si>
    <t>PERIODE DESEMBER 2026</t>
  </si>
  <si>
    <t>PERIODE JANUARI 2026</t>
  </si>
  <si>
    <t>RUKEM :62 KK</t>
  </si>
  <si>
    <t>MUSLIM : 60 KK</t>
  </si>
  <si>
    <t>62X5.000+62.000</t>
  </si>
  <si>
    <t xml:space="preserve">   Total Rukem : 372.000</t>
  </si>
  <si>
    <t xml:space="preserve">     '-Rukem : 310.000</t>
  </si>
  <si>
    <t xml:space="preserve">     '-Ambulance : 62.000</t>
  </si>
  <si>
    <t xml:space="preserve">Catatan : Total Kas Sosial 660.000 </t>
  </si>
  <si>
    <t>- Kas Sosial : 560.000</t>
  </si>
  <si>
    <t>MUSLIM : 59 KK (1 TIDAK IKUT RUKEM)</t>
  </si>
  <si>
    <t>62X5.000</t>
  </si>
  <si>
    <t>59X5000</t>
  </si>
  <si>
    <t xml:space="preserve">     '-Rukem : 310:000</t>
  </si>
  <si>
    <t>PERIODE FEBRUARI 2026</t>
  </si>
  <si>
    <t>PERIODE MARET 2026</t>
  </si>
  <si>
    <t>62X6.000</t>
  </si>
  <si>
    <t>60X5000</t>
  </si>
  <si>
    <t>NON MUSLIM : 5 KK (2 IKUT RUKEM)</t>
  </si>
  <si>
    <t>LAPORAN KEUANGAN RT 14 PERIODE JUNI 2026</t>
  </si>
  <si>
    <t>61X6.000</t>
  </si>
  <si>
    <t>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</si>
</sst>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8" formatCode="_([$Rp-421]* #,##0_);_([$Rp-421]* \(#,##0\);_([$Rp-421]* &quot;-&quot;_);_(@_)"/>
    <numFmt numFmtId="169" formatCode="_-[$Rp-421]* #,##0.00_-;\-[$Rp-421]* #,##0.00_-;_-[$Rp-421]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2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Tahoma"/>
      <family val="2"/>
    </font>
    <font>
      <b/>
      <sz val="12"/>
      <color theme="1"/>
      <name val="Tahoma"/>
      <family val="2"/>
    </font>
    <font>
      <sz val="11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6"/>
      <name val="Calibri"/>
      <family val="2"/>
    </font>
    <font>
      <b/>
      <sz val="12"/>
      <color rgb="FF000000"/>
      <name val="Calibri"/>
      <family val="2"/>
    </font>
    <font>
      <b/>
      <sz val="20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0000FF"/>
      </patternFill>
    </fill>
    <fill>
      <patternFill patternType="solid">
        <fgColor rgb="FFFFFF00"/>
        <bgColor rgb="FFFF8080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3" fillId="0" borderId="0">
      <protection locked="0"/>
    </xf>
    <xf numFmtId="0" fontId="1" fillId="0" borderId="0"/>
    <xf numFmtId="0" fontId="2" fillId="0" borderId="0"/>
    <xf numFmtId="0" fontId="4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1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41" fontId="0" fillId="0" borderId="0" xfId="1" applyFont="1"/>
    <xf numFmtId="41" fontId="0" fillId="0" borderId="0" xfId="0" applyNumberFormat="1"/>
    <xf numFmtId="41" fontId="0" fillId="0" borderId="0" xfId="0" pivotButton="1" applyNumberFormat="1"/>
    <xf numFmtId="41" fontId="0" fillId="0" borderId="0" xfId="0" applyNumberFormat="1" applyAlignment="1">
      <alignment horizontal="left"/>
    </xf>
    <xf numFmtId="41" fontId="0" fillId="0" borderId="0" xfId="0" applyNumberFormat="1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5" fillId="0" borderId="0" xfId="8" applyFont="1"/>
    <xf numFmtId="0" fontId="6" fillId="0" borderId="0" xfId="8" applyFont="1"/>
    <xf numFmtId="0" fontId="4" fillId="0" borderId="0" xfId="8"/>
    <xf numFmtId="0" fontId="7" fillId="0" borderId="0" xfId="8" applyFont="1"/>
    <xf numFmtId="168" fontId="7" fillId="0" borderId="5" xfId="8" applyNumberFormat="1" applyFont="1" applyBorder="1"/>
    <xf numFmtId="168" fontId="7" fillId="0" borderId="6" xfId="8" applyNumberFormat="1" applyFont="1" applyBorder="1"/>
    <xf numFmtId="168" fontId="4" fillId="0" borderId="5" xfId="8" applyNumberFormat="1" applyBorder="1"/>
    <xf numFmtId="168" fontId="4" fillId="4" borderId="5" xfId="8" applyNumberFormat="1" applyFill="1" applyBorder="1"/>
    <xf numFmtId="168" fontId="7" fillId="3" borderId="1" xfId="8" applyNumberFormat="1" applyFont="1" applyFill="1" applyBorder="1" applyAlignment="1">
      <alignment horizontal="center"/>
    </xf>
    <xf numFmtId="168" fontId="4" fillId="0" borderId="0" xfId="8" applyNumberFormat="1"/>
    <xf numFmtId="169" fontId="4" fillId="0" borderId="0" xfId="8" applyNumberFormat="1"/>
    <xf numFmtId="166" fontId="4" fillId="0" borderId="0" xfId="14" applyNumberFormat="1" applyFont="1"/>
    <xf numFmtId="166" fontId="4" fillId="0" borderId="0" xfId="8" applyNumberFormat="1"/>
    <xf numFmtId="0" fontId="2" fillId="0" borderId="0" xfId="3"/>
    <xf numFmtId="0" fontId="14" fillId="0" borderId="0" xfId="3" applyFont="1"/>
    <xf numFmtId="0" fontId="2" fillId="9" borderId="1" xfId="3" applyFill="1" applyBorder="1" applyAlignment="1">
      <alignment horizontal="center"/>
    </xf>
    <xf numFmtId="0" fontId="2" fillId="0" borderId="0" xfId="3" applyAlignment="1">
      <alignment horizontal="center"/>
    </xf>
    <xf numFmtId="0" fontId="2" fillId="0" borderId="1" xfId="3" applyBorder="1" applyAlignment="1">
      <alignment horizontal="center"/>
    </xf>
    <xf numFmtId="14" fontId="2" fillId="0" borderId="1" xfId="3" applyNumberFormat="1" applyBorder="1" applyAlignment="1">
      <alignment horizontal="center"/>
    </xf>
    <xf numFmtId="3" fontId="2" fillId="0" borderId="1" xfId="3" applyNumberFormat="1" applyBorder="1" applyAlignment="1">
      <alignment horizontal="center"/>
    </xf>
    <xf numFmtId="166" fontId="0" fillId="0" borderId="1" xfId="15" applyNumberFormat="1" applyFont="1" applyBorder="1" applyAlignment="1">
      <alignment horizontal="center"/>
    </xf>
    <xf numFmtId="0" fontId="13" fillId="0" borderId="1" xfId="3" applyFont="1" applyBorder="1" applyAlignment="1">
      <alignment horizontal="center"/>
    </xf>
    <xf numFmtId="3" fontId="13" fillId="0" borderId="1" xfId="3" applyNumberFormat="1" applyFont="1" applyBorder="1" applyAlignment="1">
      <alignment horizontal="center"/>
    </xf>
    <xf numFmtId="0" fontId="2" fillId="0" borderId="1" xfId="3" quotePrefix="1" applyBorder="1" applyAlignment="1">
      <alignment horizontal="left" vertical="center"/>
    </xf>
    <xf numFmtId="0" fontId="17" fillId="0" borderId="5" xfId="8" applyFont="1" applyBorder="1"/>
    <xf numFmtId="0" fontId="13" fillId="0" borderId="0" xfId="3" applyFont="1" applyAlignment="1">
      <alignment horizontal="center"/>
    </xf>
    <xf numFmtId="0" fontId="3" fillId="0" borderId="0" xfId="8" quotePrefix="1" applyFont="1"/>
    <xf numFmtId="168" fontId="11" fillId="5" borderId="1" xfId="8" applyNumberFormat="1" applyFont="1" applyFill="1" applyBorder="1"/>
    <xf numFmtId="168" fontId="7" fillId="8" borderId="1" xfId="8" applyNumberFormat="1" applyFont="1" applyFill="1" applyBorder="1"/>
    <xf numFmtId="0" fontId="7" fillId="8" borderId="1" xfId="8" applyFont="1" applyFill="1" applyBorder="1" applyAlignment="1">
      <alignment horizontal="center"/>
    </xf>
    <xf numFmtId="3" fontId="19" fillId="0" borderId="1" xfId="3" applyNumberFormat="1" applyFont="1" applyBorder="1" applyAlignment="1">
      <alignment horizontal="center"/>
    </xf>
    <xf numFmtId="0" fontId="13" fillId="9" borderId="1" xfId="3" applyFont="1" applyFill="1" applyBorder="1" applyAlignment="1">
      <alignment horizontal="center"/>
    </xf>
    <xf numFmtId="166" fontId="13" fillId="0" borderId="1" xfId="15" applyNumberFormat="1" applyFont="1" applyBorder="1" applyAlignment="1">
      <alignment horizontal="center"/>
    </xf>
    <xf numFmtId="0" fontId="20" fillId="0" borderId="0" xfId="3" applyFont="1"/>
    <xf numFmtId="0" fontId="17" fillId="0" borderId="11" xfId="8" applyFont="1" applyBorder="1"/>
    <xf numFmtId="3" fontId="2" fillId="0" borderId="0" xfId="3" quotePrefix="1" applyNumberFormat="1"/>
    <xf numFmtId="0" fontId="1" fillId="0" borderId="0" xfId="3" applyFont="1"/>
    <xf numFmtId="3" fontId="2" fillId="0" borderId="0" xfId="3" applyNumberFormat="1"/>
    <xf numFmtId="3" fontId="13" fillId="0" borderId="0" xfId="3" applyNumberFormat="1" applyFont="1"/>
    <xf numFmtId="0" fontId="6" fillId="2" borderId="8" xfId="8" applyFont="1" applyFill="1" applyBorder="1" applyAlignment="1">
      <alignment horizontal="right" vertical="center" wrapText="1"/>
    </xf>
    <xf numFmtId="0" fontId="6" fillId="2" borderId="9" xfId="8" applyFont="1" applyFill="1" applyBorder="1" applyAlignment="1">
      <alignment horizontal="right" vertical="center" wrapText="1"/>
    </xf>
    <xf numFmtId="168" fontId="7" fillId="3" borderId="4" xfId="8" applyNumberFormat="1" applyFont="1" applyFill="1" applyBorder="1" applyAlignment="1">
      <alignment horizontal="center" vertical="center"/>
    </xf>
    <xf numFmtId="0" fontId="10" fillId="0" borderId="7" xfId="8" applyFont="1" applyBorder="1"/>
    <xf numFmtId="0" fontId="15" fillId="6" borderId="1" xfId="8" applyFont="1" applyFill="1" applyBorder="1" applyAlignment="1">
      <alignment horizontal="center" vertical="center"/>
    </xf>
    <xf numFmtId="0" fontId="16" fillId="8" borderId="1" xfId="8" applyFont="1" applyFill="1" applyBorder="1"/>
    <xf numFmtId="0" fontId="8" fillId="7" borderId="1" xfId="8" applyFont="1" applyFill="1" applyBorder="1" applyAlignment="1">
      <alignment horizontal="center" vertical="center"/>
    </xf>
    <xf numFmtId="0" fontId="10" fillId="8" borderId="1" xfId="8" applyFont="1" applyFill="1" applyBorder="1"/>
    <xf numFmtId="0" fontId="9" fillId="2" borderId="12" xfId="8" applyFont="1" applyFill="1" applyBorder="1" applyAlignment="1">
      <alignment horizontal="center" vertical="center"/>
    </xf>
    <xf numFmtId="0" fontId="9" fillId="2" borderId="13" xfId="8" applyFont="1" applyFill="1" applyBorder="1" applyAlignment="1">
      <alignment horizontal="center" vertical="center"/>
    </xf>
    <xf numFmtId="0" fontId="9" fillId="2" borderId="14" xfId="8" applyFont="1" applyFill="1" applyBorder="1" applyAlignment="1">
      <alignment horizontal="center" vertical="center"/>
    </xf>
    <xf numFmtId="0" fontId="18" fillId="0" borderId="2" xfId="8" applyFont="1" applyBorder="1" applyAlignment="1">
      <alignment horizontal="center" vertical="center"/>
    </xf>
    <xf numFmtId="0" fontId="18" fillId="0" borderId="3" xfId="8" applyFont="1" applyBorder="1" applyAlignment="1">
      <alignment horizontal="center" vertical="center"/>
    </xf>
    <xf numFmtId="0" fontId="18" fillId="0" borderId="10" xfId="8" applyFont="1" applyBorder="1" applyAlignment="1">
      <alignment horizontal="center" vertical="center"/>
    </xf>
  </cellXfs>
  <cellStyles count="16">
    <cellStyle name="Comma [0] 2" xfId="4" xr:uid="{00000000-0005-0000-0000-000002000000}"/>
    <cellStyle name="Comma [0] 3" xfId="12" xr:uid="{00000000-0005-0000-0000-000003000000}"/>
    <cellStyle name="Comma 2" xfId="2" xr:uid="{00000000-0005-0000-0000-000004000000}"/>
    <cellStyle name="Comma 3" xfId="9" xr:uid="{00000000-0005-0000-0000-000005000000}"/>
    <cellStyle name="Comma 4" xfId="15" xr:uid="{00000000-0005-0000-0000-000006000000}"/>
    <cellStyle name="Koma" xfId="14" builtinId="3"/>
    <cellStyle name="Koma [0]" xfId="1" builtinId="6"/>
    <cellStyle name="Normal" xfId="0" builtinId="0"/>
    <cellStyle name="Normal 2" xfId="3" xr:uid="{00000000-0005-0000-0000-000008000000}"/>
    <cellStyle name="Normal 2 2" xfId="5" xr:uid="{00000000-0005-0000-0000-000009000000}"/>
    <cellStyle name="Normal 2 2 2" xfId="7" xr:uid="{00000000-0005-0000-0000-00000A000000}"/>
    <cellStyle name="Normal 3" xfId="8" xr:uid="{00000000-0005-0000-0000-00000B000000}"/>
    <cellStyle name="Normal 4" xfId="11" xr:uid="{00000000-0005-0000-0000-00000C000000}"/>
    <cellStyle name="Normal 5" xfId="6" xr:uid="{00000000-0005-0000-0000-00000D000000}"/>
    <cellStyle name="Normal 6" xfId="13" xr:uid="{00000000-0005-0000-0000-00000E000000}"/>
    <cellStyle name="Percent 2" xfId="10" xr:uid="{00000000-0005-0000-0000-00000F000000}"/>
  </cellStyles>
  <dxfs count="6"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externalLink" Target="externalLinks/externalLink1.xml" /><Relationship Id="rId26" Type="http://schemas.openxmlformats.org/officeDocument/2006/relationships/styles" Target="styles.xml" /><Relationship Id="rId3" Type="http://schemas.openxmlformats.org/officeDocument/2006/relationships/worksheet" Target="worksheets/sheet3.xml" /><Relationship Id="rId21" Type="http://schemas.openxmlformats.org/officeDocument/2006/relationships/pivotCacheDefinition" Target="pivotCache/pivotCacheDefinition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externalLink" Target="externalLinks/externalLink3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pivotCacheDefinition" Target="pivotCache/pivotCacheDefinition4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pivotCacheDefinition" Target="pivotCache/pivotCacheDefinition3.xml" /><Relationship Id="rId28" Type="http://schemas.openxmlformats.org/officeDocument/2006/relationships/calcChain" Target="calcChain.xml" /><Relationship Id="rId10" Type="http://schemas.openxmlformats.org/officeDocument/2006/relationships/worksheet" Target="worksheets/sheet10.xml" /><Relationship Id="rId19" Type="http://schemas.openxmlformats.org/officeDocument/2006/relationships/externalLink" Target="externalLinks/externalLink2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pivotCacheDefinition" Target="pivotCache/pivotCacheDefinition2.xml" /><Relationship Id="rId27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[Laporan Keuangan Umum RT 14 RW 12 Periode Juni 2026.xlsx]pivot!PivotTable2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pivot!$C$3</c:f>
              <c:strCache>
                <c:ptCount val="1"/>
                <c:pt idx="0">
                  <c:v>Sum of TOTAL PAX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pivot!$B$4:$B$37</c:f>
              <c:multiLvlStrCache>
                <c:ptCount val="28"/>
                <c:lvl>
                  <c:pt idx="0">
                    <c:v>QRIS</c:v>
                  </c:pt>
                  <c:pt idx="1">
                    <c:v>WALK-IN</c:v>
                  </c:pt>
                  <c:pt idx="2">
                    <c:v>DRAGON PASS</c:v>
                  </c:pt>
                  <c:pt idx="3">
                    <c:v>QRIS</c:v>
                  </c:pt>
                  <c:pt idx="4">
                    <c:v>WALK-IN</c:v>
                  </c:pt>
                  <c:pt idx="5">
                    <c:v>BJB</c:v>
                  </c:pt>
                  <c:pt idx="6">
                    <c:v>DRAGON PASS</c:v>
                  </c:pt>
                  <c:pt idx="7">
                    <c:v>HSBC</c:v>
                  </c:pt>
                  <c:pt idx="8">
                    <c:v>QRIS</c:v>
                  </c:pt>
                  <c:pt idx="9">
                    <c:v>WALK-IN</c:v>
                  </c:pt>
                  <c:pt idx="10">
                    <c:v>BJB</c:v>
                  </c:pt>
                  <c:pt idx="11">
                    <c:v>DRAGON PASS</c:v>
                  </c:pt>
                  <c:pt idx="12">
                    <c:v>HSBC</c:v>
                  </c:pt>
                  <c:pt idx="13">
                    <c:v>OCBC</c:v>
                  </c:pt>
                  <c:pt idx="14">
                    <c:v>PRIOTIY PASS</c:v>
                  </c:pt>
                  <c:pt idx="15">
                    <c:v>QRIS</c:v>
                  </c:pt>
                  <c:pt idx="16">
                    <c:v>VIETJET</c:v>
                  </c:pt>
                  <c:pt idx="17">
                    <c:v>VIPROOM</c:v>
                  </c:pt>
                  <c:pt idx="18">
                    <c:v>WALK-IN</c:v>
                  </c:pt>
                  <c:pt idx="19">
                    <c:v>BJB</c:v>
                  </c:pt>
                  <c:pt idx="20">
                    <c:v>DRAGON PASS</c:v>
                  </c:pt>
                  <c:pt idx="21">
                    <c:v>HSBC</c:v>
                  </c:pt>
                  <c:pt idx="22">
                    <c:v>OCBC</c:v>
                  </c:pt>
                  <c:pt idx="23">
                    <c:v>PRIOTIY PASS</c:v>
                  </c:pt>
                  <c:pt idx="24">
                    <c:v>QRIS</c:v>
                  </c:pt>
                  <c:pt idx="25">
                    <c:v>VIETJET</c:v>
                  </c:pt>
                  <c:pt idx="26">
                    <c:v>VIPROOM</c:v>
                  </c:pt>
                  <c:pt idx="27">
                    <c:v>WALK-IN</c:v>
                  </c:pt>
                </c:lvl>
                <c:lvl>
                  <c:pt idx="0">
                    <c:v>MAY</c:v>
                  </c:pt>
                  <c:pt idx="2">
                    <c:v>JUNE</c:v>
                  </c:pt>
                  <c:pt idx="5">
                    <c:v>JULY</c:v>
                  </c:pt>
                  <c:pt idx="10">
                    <c:v>AUGUST</c:v>
                  </c:pt>
                  <c:pt idx="19">
                    <c:v>SEPTEMBER</c:v>
                  </c:pt>
                </c:lvl>
              </c:multiLvlStrCache>
            </c:multiLvlStrRef>
          </c:cat>
          <c:val>
            <c:numRef>
              <c:f>pivot!$C$4:$C$37</c:f>
              <c:numCache>
                <c:formatCode>_(* #,##0_);_(* \(#,##0\);_(* "-"_);_(@_)</c:formatCode>
                <c:ptCount val="28"/>
                <c:pt idx="0">
                  <c:v>323</c:v>
                </c:pt>
                <c:pt idx="1">
                  <c:v>2124</c:v>
                </c:pt>
                <c:pt idx="2">
                  <c:v>48</c:v>
                </c:pt>
                <c:pt idx="3">
                  <c:v>705</c:v>
                </c:pt>
                <c:pt idx="4">
                  <c:v>3661</c:v>
                </c:pt>
                <c:pt idx="5">
                  <c:v>27</c:v>
                </c:pt>
                <c:pt idx="6">
                  <c:v>89</c:v>
                </c:pt>
                <c:pt idx="7">
                  <c:v>57</c:v>
                </c:pt>
                <c:pt idx="8">
                  <c:v>488</c:v>
                </c:pt>
                <c:pt idx="9">
                  <c:v>3286</c:v>
                </c:pt>
                <c:pt idx="10">
                  <c:v>62</c:v>
                </c:pt>
                <c:pt idx="11">
                  <c:v>129</c:v>
                </c:pt>
                <c:pt idx="12">
                  <c:v>239</c:v>
                </c:pt>
                <c:pt idx="13">
                  <c:v>130</c:v>
                </c:pt>
                <c:pt idx="14">
                  <c:v>1529</c:v>
                </c:pt>
                <c:pt idx="15">
                  <c:v>528</c:v>
                </c:pt>
                <c:pt idx="16">
                  <c:v>40</c:v>
                </c:pt>
                <c:pt idx="17">
                  <c:v>7</c:v>
                </c:pt>
                <c:pt idx="18">
                  <c:v>2057</c:v>
                </c:pt>
                <c:pt idx="19">
                  <c:v>16</c:v>
                </c:pt>
                <c:pt idx="20">
                  <c:v>32</c:v>
                </c:pt>
                <c:pt idx="21">
                  <c:v>114</c:v>
                </c:pt>
                <c:pt idx="22">
                  <c:v>51</c:v>
                </c:pt>
                <c:pt idx="23">
                  <c:v>634</c:v>
                </c:pt>
                <c:pt idx="24">
                  <c:v>76</c:v>
                </c:pt>
                <c:pt idx="25">
                  <c:v>16</c:v>
                </c:pt>
                <c:pt idx="26">
                  <c:v>3</c:v>
                </c:pt>
                <c:pt idx="27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4-49A7-9D7D-A51F394C477A}"/>
            </c:ext>
          </c:extLst>
        </c:ser>
        <c:ser>
          <c:idx val="1"/>
          <c:order val="1"/>
          <c:tx>
            <c:strRef>
              <c:f>pivot!$D$3</c:f>
              <c:strCache>
                <c:ptCount val="1"/>
                <c:pt idx="0">
                  <c:v>Sum of TOTAL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pivot!$B$4:$B$37</c:f>
              <c:multiLvlStrCache>
                <c:ptCount val="28"/>
                <c:lvl>
                  <c:pt idx="0">
                    <c:v>QRIS</c:v>
                  </c:pt>
                  <c:pt idx="1">
                    <c:v>WALK-IN</c:v>
                  </c:pt>
                  <c:pt idx="2">
                    <c:v>DRAGON PASS</c:v>
                  </c:pt>
                  <c:pt idx="3">
                    <c:v>QRIS</c:v>
                  </c:pt>
                  <c:pt idx="4">
                    <c:v>WALK-IN</c:v>
                  </c:pt>
                  <c:pt idx="5">
                    <c:v>BJB</c:v>
                  </c:pt>
                  <c:pt idx="6">
                    <c:v>DRAGON PASS</c:v>
                  </c:pt>
                  <c:pt idx="7">
                    <c:v>HSBC</c:v>
                  </c:pt>
                  <c:pt idx="8">
                    <c:v>QRIS</c:v>
                  </c:pt>
                  <c:pt idx="9">
                    <c:v>WALK-IN</c:v>
                  </c:pt>
                  <c:pt idx="10">
                    <c:v>BJB</c:v>
                  </c:pt>
                  <c:pt idx="11">
                    <c:v>DRAGON PASS</c:v>
                  </c:pt>
                  <c:pt idx="12">
                    <c:v>HSBC</c:v>
                  </c:pt>
                  <c:pt idx="13">
                    <c:v>OCBC</c:v>
                  </c:pt>
                  <c:pt idx="14">
                    <c:v>PRIOTIY PASS</c:v>
                  </c:pt>
                  <c:pt idx="15">
                    <c:v>QRIS</c:v>
                  </c:pt>
                  <c:pt idx="16">
                    <c:v>VIETJET</c:v>
                  </c:pt>
                  <c:pt idx="17">
                    <c:v>VIPROOM</c:v>
                  </c:pt>
                  <c:pt idx="18">
                    <c:v>WALK-IN</c:v>
                  </c:pt>
                  <c:pt idx="19">
                    <c:v>BJB</c:v>
                  </c:pt>
                  <c:pt idx="20">
                    <c:v>DRAGON PASS</c:v>
                  </c:pt>
                  <c:pt idx="21">
                    <c:v>HSBC</c:v>
                  </c:pt>
                  <c:pt idx="22">
                    <c:v>OCBC</c:v>
                  </c:pt>
                  <c:pt idx="23">
                    <c:v>PRIOTIY PASS</c:v>
                  </c:pt>
                  <c:pt idx="24">
                    <c:v>QRIS</c:v>
                  </c:pt>
                  <c:pt idx="25">
                    <c:v>VIETJET</c:v>
                  </c:pt>
                  <c:pt idx="26">
                    <c:v>VIPROOM</c:v>
                  </c:pt>
                  <c:pt idx="27">
                    <c:v>WALK-IN</c:v>
                  </c:pt>
                </c:lvl>
                <c:lvl>
                  <c:pt idx="0">
                    <c:v>MAY</c:v>
                  </c:pt>
                  <c:pt idx="2">
                    <c:v>JUNE</c:v>
                  </c:pt>
                  <c:pt idx="5">
                    <c:v>JULY</c:v>
                  </c:pt>
                  <c:pt idx="10">
                    <c:v>AUGUST</c:v>
                  </c:pt>
                  <c:pt idx="19">
                    <c:v>SEPTEMBER</c:v>
                  </c:pt>
                </c:lvl>
              </c:multiLvlStrCache>
            </c:multiLvlStrRef>
          </c:cat>
          <c:val>
            <c:numRef>
              <c:f>pivot!$D$4:$D$37</c:f>
              <c:numCache>
                <c:formatCode>_(* #,##0_);_(* \(#,##0\);_(* "-"_);_(@_)</c:formatCode>
                <c:ptCount val="28"/>
                <c:pt idx="0">
                  <c:v>31977000</c:v>
                </c:pt>
                <c:pt idx="1">
                  <c:v>210276000</c:v>
                </c:pt>
                <c:pt idx="2">
                  <c:v>7200000</c:v>
                </c:pt>
                <c:pt idx="3">
                  <c:v>69795000</c:v>
                </c:pt>
                <c:pt idx="4">
                  <c:v>362439000</c:v>
                </c:pt>
                <c:pt idx="5">
                  <c:v>3510000</c:v>
                </c:pt>
                <c:pt idx="6">
                  <c:v>13350000</c:v>
                </c:pt>
                <c:pt idx="7">
                  <c:v>7410000</c:v>
                </c:pt>
                <c:pt idx="8">
                  <c:v>56586000</c:v>
                </c:pt>
                <c:pt idx="9">
                  <c:v>381846000</c:v>
                </c:pt>
                <c:pt idx="10">
                  <c:v>8060000</c:v>
                </c:pt>
                <c:pt idx="11">
                  <c:v>19350000</c:v>
                </c:pt>
                <c:pt idx="12">
                  <c:v>31070000</c:v>
                </c:pt>
                <c:pt idx="13">
                  <c:v>16900000</c:v>
                </c:pt>
                <c:pt idx="14">
                  <c:v>198770000</c:v>
                </c:pt>
                <c:pt idx="15">
                  <c:v>60658040</c:v>
                </c:pt>
                <c:pt idx="16">
                  <c:v>4400000</c:v>
                </c:pt>
                <c:pt idx="17">
                  <c:v>4500000</c:v>
                </c:pt>
                <c:pt idx="18">
                  <c:v>237265300</c:v>
                </c:pt>
                <c:pt idx="19">
                  <c:v>2080000</c:v>
                </c:pt>
                <c:pt idx="20">
                  <c:v>4800000</c:v>
                </c:pt>
                <c:pt idx="21">
                  <c:v>14820000</c:v>
                </c:pt>
                <c:pt idx="22">
                  <c:v>6630000</c:v>
                </c:pt>
                <c:pt idx="23">
                  <c:v>82420000</c:v>
                </c:pt>
                <c:pt idx="24">
                  <c:v>9120000</c:v>
                </c:pt>
                <c:pt idx="25">
                  <c:v>1760000</c:v>
                </c:pt>
                <c:pt idx="26">
                  <c:v>2000000</c:v>
                </c:pt>
                <c:pt idx="27">
                  <c:v>99740000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4-49A7-9D7D-A51F394C4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306457200"/>
        <c:axId val="-306465904"/>
      </c:barChart>
      <c:catAx>
        <c:axId val="-30645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6465904"/>
        <c:crosses val="autoZero"/>
        <c:auto val="1"/>
        <c:lblAlgn val="ctr"/>
        <c:lblOffset val="100"/>
        <c:noMultiLvlLbl val="0"/>
      </c:catAx>
      <c:valAx>
        <c:axId val="-30646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645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[Laporan Keuangan Umum RT 14 RW 12 Periode Juni 2026.xlsx]PIVOT 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2'!$E$4:$E$6</c:f>
              <c:strCache>
                <c:ptCount val="1"/>
                <c:pt idx="0">
                  <c:v>MAY - Sum of TOTAL PAX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2'!$D$7:$D$16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2'!$E$7:$E$16</c:f>
              <c:numCache>
                <c:formatCode>General</c:formatCode>
                <c:ptCount val="9"/>
                <c:pt idx="5">
                  <c:v>323</c:v>
                </c:pt>
                <c:pt idx="8">
                  <c:v>2124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7-4090-8570-9250ED51101A}"/>
            </c:ext>
          </c:extLst>
        </c:ser>
        <c:ser>
          <c:idx val="1"/>
          <c:order val="1"/>
          <c:tx>
            <c:strRef>
              <c:f>'PIVOT 2'!$F$4:$F$6</c:f>
              <c:strCache>
                <c:ptCount val="1"/>
                <c:pt idx="0">
                  <c:v>MAY - Sum of TOTAL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2'!$D$7:$D$16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2'!$F$7:$F$16</c:f>
              <c:numCache>
                <c:formatCode>General</c:formatCode>
                <c:ptCount val="9"/>
                <c:pt idx="5">
                  <c:v>31977000</c:v>
                </c:pt>
                <c:pt idx="8">
                  <c:v>210276000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7-4090-8570-9250ED51101A}"/>
            </c:ext>
          </c:extLst>
        </c:ser>
        <c:ser>
          <c:idx val="2"/>
          <c:order val="2"/>
          <c:tx>
            <c:strRef>
              <c:f>'PIVOT 2'!$G$4:$G$6</c:f>
              <c:strCache>
                <c:ptCount val="1"/>
                <c:pt idx="0">
                  <c:v>JUNE - Sum of TOTAL PAX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2'!$D$7:$D$16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2'!$G$7:$G$16</c:f>
              <c:numCache>
                <c:formatCode>General</c:formatCode>
                <c:ptCount val="9"/>
                <c:pt idx="1">
                  <c:v>48</c:v>
                </c:pt>
                <c:pt idx="5">
                  <c:v>705</c:v>
                </c:pt>
                <c:pt idx="8">
                  <c:v>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A7-4090-8570-9250ED51101A}"/>
            </c:ext>
          </c:extLst>
        </c:ser>
        <c:ser>
          <c:idx val="3"/>
          <c:order val="3"/>
          <c:tx>
            <c:strRef>
              <c:f>'PIVOT 2'!$H$4:$H$6</c:f>
              <c:strCache>
                <c:ptCount val="1"/>
                <c:pt idx="0">
                  <c:v>JUNE - Sum of TOTAL PRICE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2'!$D$7:$D$16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2'!$H$7:$H$16</c:f>
              <c:numCache>
                <c:formatCode>General</c:formatCode>
                <c:ptCount val="9"/>
                <c:pt idx="1">
                  <c:v>7200000</c:v>
                </c:pt>
                <c:pt idx="5">
                  <c:v>69795000</c:v>
                </c:pt>
                <c:pt idx="8">
                  <c:v>362439000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A7-4090-8570-9250ED51101A}"/>
            </c:ext>
          </c:extLst>
        </c:ser>
        <c:ser>
          <c:idx val="4"/>
          <c:order val="4"/>
          <c:tx>
            <c:strRef>
              <c:f>'PIVOT 2'!$I$4:$I$6</c:f>
              <c:strCache>
                <c:ptCount val="1"/>
                <c:pt idx="0">
                  <c:v>JULY - Sum of TOTAL PAX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2'!$D$7:$D$16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2'!$I$7:$I$16</c:f>
              <c:numCache>
                <c:formatCode>General</c:formatCode>
                <c:ptCount val="9"/>
                <c:pt idx="0">
                  <c:v>27</c:v>
                </c:pt>
                <c:pt idx="1">
                  <c:v>89</c:v>
                </c:pt>
                <c:pt idx="2">
                  <c:v>57</c:v>
                </c:pt>
                <c:pt idx="5">
                  <c:v>488</c:v>
                </c:pt>
                <c:pt idx="8">
                  <c:v>3286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A7-4090-8570-9250ED51101A}"/>
            </c:ext>
          </c:extLst>
        </c:ser>
        <c:ser>
          <c:idx val="5"/>
          <c:order val="5"/>
          <c:tx>
            <c:strRef>
              <c:f>'PIVOT 2'!$J$4:$J$6</c:f>
              <c:strCache>
                <c:ptCount val="1"/>
                <c:pt idx="0">
                  <c:v>JULY - Sum of TOTAL PRICE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2'!$D$7:$D$16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2'!$J$7:$J$16</c:f>
              <c:numCache>
                <c:formatCode>General</c:formatCode>
                <c:ptCount val="9"/>
                <c:pt idx="0">
                  <c:v>3510000</c:v>
                </c:pt>
                <c:pt idx="1">
                  <c:v>13350000</c:v>
                </c:pt>
                <c:pt idx="2">
                  <c:v>7410000</c:v>
                </c:pt>
                <c:pt idx="5">
                  <c:v>56586000</c:v>
                </c:pt>
                <c:pt idx="8">
                  <c:v>381846000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A7-4090-8570-9250ED51101A}"/>
            </c:ext>
          </c:extLst>
        </c:ser>
        <c:ser>
          <c:idx val="6"/>
          <c:order val="6"/>
          <c:tx>
            <c:strRef>
              <c:f>'PIVOT 2'!$K$4:$K$6</c:f>
              <c:strCache>
                <c:ptCount val="1"/>
                <c:pt idx="0">
                  <c:v>AUGUST - Sum of TOTAL PAX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2'!$D$7:$D$16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2'!$K$7:$K$16</c:f>
              <c:numCache>
                <c:formatCode>General</c:formatCode>
                <c:ptCount val="9"/>
                <c:pt idx="0">
                  <c:v>62</c:v>
                </c:pt>
                <c:pt idx="1">
                  <c:v>129</c:v>
                </c:pt>
                <c:pt idx="2">
                  <c:v>236</c:v>
                </c:pt>
                <c:pt idx="3">
                  <c:v>130</c:v>
                </c:pt>
                <c:pt idx="4">
                  <c:v>1529</c:v>
                </c:pt>
                <c:pt idx="5">
                  <c:v>528</c:v>
                </c:pt>
                <c:pt idx="6">
                  <c:v>40</c:v>
                </c:pt>
                <c:pt idx="7">
                  <c:v>7</c:v>
                </c:pt>
                <c:pt idx="8">
                  <c:v>2057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A7-4090-8570-9250ED51101A}"/>
            </c:ext>
          </c:extLst>
        </c:ser>
        <c:ser>
          <c:idx val="7"/>
          <c:order val="7"/>
          <c:tx>
            <c:strRef>
              <c:f>'PIVOT 2'!$L$4:$L$6</c:f>
              <c:strCache>
                <c:ptCount val="1"/>
                <c:pt idx="0">
                  <c:v>AUGUST - Sum of TOTAL PRICE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2'!$D$7:$D$16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2'!$L$7:$L$16</c:f>
              <c:numCache>
                <c:formatCode>General</c:formatCode>
                <c:ptCount val="9"/>
                <c:pt idx="0">
                  <c:v>8060000</c:v>
                </c:pt>
                <c:pt idx="1">
                  <c:v>19350000</c:v>
                </c:pt>
                <c:pt idx="2">
                  <c:v>30680000</c:v>
                </c:pt>
                <c:pt idx="3">
                  <c:v>16900000</c:v>
                </c:pt>
                <c:pt idx="4">
                  <c:v>198770000</c:v>
                </c:pt>
                <c:pt idx="5">
                  <c:v>60658040</c:v>
                </c:pt>
                <c:pt idx="6">
                  <c:v>4400000</c:v>
                </c:pt>
                <c:pt idx="7">
                  <c:v>4500000</c:v>
                </c:pt>
                <c:pt idx="8">
                  <c:v>237265300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9A7-4090-8570-9250ED51101A}"/>
            </c:ext>
          </c:extLst>
        </c:ser>
        <c:ser>
          <c:idx val="8"/>
          <c:order val="8"/>
          <c:tx>
            <c:strRef>
              <c:f>'PIVOT 2'!$M$4:$M$6</c:f>
              <c:strCache>
                <c:ptCount val="1"/>
                <c:pt idx="0">
                  <c:v>SEPTEMBER - Sum of TOTAL PAX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2'!$D$7:$D$16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2'!$M$7:$M$16</c:f>
              <c:numCache>
                <c:formatCode>General</c:formatCode>
                <c:ptCount val="9"/>
                <c:pt idx="0">
                  <c:v>29</c:v>
                </c:pt>
                <c:pt idx="1">
                  <c:v>59</c:v>
                </c:pt>
                <c:pt idx="2">
                  <c:v>168</c:v>
                </c:pt>
                <c:pt idx="3">
                  <c:v>97</c:v>
                </c:pt>
                <c:pt idx="4">
                  <c:v>1109</c:v>
                </c:pt>
                <c:pt idx="5">
                  <c:v>244</c:v>
                </c:pt>
                <c:pt idx="6">
                  <c:v>18</c:v>
                </c:pt>
                <c:pt idx="7">
                  <c:v>5</c:v>
                </c:pt>
                <c:pt idx="8">
                  <c:v>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A7-4090-8570-9250ED51101A}"/>
            </c:ext>
          </c:extLst>
        </c:ser>
        <c:ser>
          <c:idx val="9"/>
          <c:order val="9"/>
          <c:tx>
            <c:strRef>
              <c:f>'PIVOT 2'!$N$4:$N$6</c:f>
              <c:strCache>
                <c:ptCount val="1"/>
                <c:pt idx="0">
                  <c:v>SEPTEMBER - Sum of TOTAL PRICE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2'!$D$7:$D$16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2'!$N$7:$N$16</c:f>
              <c:numCache>
                <c:formatCode>General</c:formatCode>
                <c:ptCount val="9"/>
                <c:pt idx="0">
                  <c:v>3770000</c:v>
                </c:pt>
                <c:pt idx="1">
                  <c:v>8850000</c:v>
                </c:pt>
                <c:pt idx="2">
                  <c:v>21840000</c:v>
                </c:pt>
                <c:pt idx="3">
                  <c:v>12610000</c:v>
                </c:pt>
                <c:pt idx="4">
                  <c:v>144170000</c:v>
                </c:pt>
                <c:pt idx="5">
                  <c:v>31720000</c:v>
                </c:pt>
                <c:pt idx="6">
                  <c:v>1980000</c:v>
                </c:pt>
                <c:pt idx="7">
                  <c:v>4000000</c:v>
                </c:pt>
                <c:pt idx="8">
                  <c:v>168230000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9A7-4090-8570-9250ED511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306471344"/>
        <c:axId val="-306471888"/>
      </c:barChart>
      <c:catAx>
        <c:axId val="-30647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6471888"/>
        <c:crosses val="autoZero"/>
        <c:auto val="1"/>
        <c:lblAlgn val="ctr"/>
        <c:lblOffset val="100"/>
        <c:noMultiLvlLbl val="0"/>
      </c:catAx>
      <c:valAx>
        <c:axId val="-30647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647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[Laporan Keuangan Umum RT 14 RW 12 Periode Juni 2026.xlsx]PIVOT 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3'!$D$4:$D$6</c:f>
              <c:strCache>
                <c:ptCount val="1"/>
                <c:pt idx="0">
                  <c:v>MAY - Sum of TOTAL PAX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3'!$C$7:$C$16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3'!$D$7:$D$16</c:f>
              <c:numCache>
                <c:formatCode>General</c:formatCode>
                <c:ptCount val="9"/>
                <c:pt idx="5">
                  <c:v>323</c:v>
                </c:pt>
                <c:pt idx="8">
                  <c:v>2124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D-4C9A-BF33-334256F92F97}"/>
            </c:ext>
          </c:extLst>
        </c:ser>
        <c:ser>
          <c:idx val="1"/>
          <c:order val="1"/>
          <c:tx>
            <c:strRef>
              <c:f>'PIVOT 3'!$E$4:$E$6</c:f>
              <c:strCache>
                <c:ptCount val="1"/>
                <c:pt idx="0">
                  <c:v>MAY - Sum of TOTAL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3'!$C$7:$C$16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3'!$E$7:$E$16</c:f>
              <c:numCache>
                <c:formatCode>General</c:formatCode>
                <c:ptCount val="9"/>
                <c:pt idx="5">
                  <c:v>31977000</c:v>
                </c:pt>
                <c:pt idx="8">
                  <c:v>210276000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D-4C9A-BF33-334256F92F97}"/>
            </c:ext>
          </c:extLst>
        </c:ser>
        <c:ser>
          <c:idx val="2"/>
          <c:order val="2"/>
          <c:tx>
            <c:strRef>
              <c:f>'PIVOT 3'!$F$4:$F$6</c:f>
              <c:strCache>
                <c:ptCount val="1"/>
                <c:pt idx="0">
                  <c:v>JUNE - Sum of TOTAL PAX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3'!$C$7:$C$16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3'!$F$7:$F$16</c:f>
              <c:numCache>
                <c:formatCode>General</c:formatCode>
                <c:ptCount val="9"/>
                <c:pt idx="1">
                  <c:v>48</c:v>
                </c:pt>
                <c:pt idx="5">
                  <c:v>705</c:v>
                </c:pt>
                <c:pt idx="8">
                  <c:v>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5D-4C9A-BF33-334256F92F97}"/>
            </c:ext>
          </c:extLst>
        </c:ser>
        <c:ser>
          <c:idx val="3"/>
          <c:order val="3"/>
          <c:tx>
            <c:strRef>
              <c:f>'PIVOT 3'!$G$4:$G$6</c:f>
              <c:strCache>
                <c:ptCount val="1"/>
                <c:pt idx="0">
                  <c:v>JUNE - Sum of TOTAL PRICE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3'!$C$7:$C$16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3'!$G$7:$G$16</c:f>
              <c:numCache>
                <c:formatCode>General</c:formatCode>
                <c:ptCount val="9"/>
                <c:pt idx="1">
                  <c:v>7200000</c:v>
                </c:pt>
                <c:pt idx="5">
                  <c:v>69795000</c:v>
                </c:pt>
                <c:pt idx="8">
                  <c:v>362439000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5D-4C9A-BF33-334256F92F97}"/>
            </c:ext>
          </c:extLst>
        </c:ser>
        <c:ser>
          <c:idx val="4"/>
          <c:order val="4"/>
          <c:tx>
            <c:strRef>
              <c:f>'PIVOT 3'!$H$4:$H$6</c:f>
              <c:strCache>
                <c:ptCount val="1"/>
                <c:pt idx="0">
                  <c:v>JULY - Sum of TOTAL PAX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3'!$C$7:$C$16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3'!$H$7:$H$16</c:f>
              <c:numCache>
                <c:formatCode>General</c:formatCode>
                <c:ptCount val="9"/>
                <c:pt idx="0">
                  <c:v>27</c:v>
                </c:pt>
                <c:pt idx="1">
                  <c:v>89</c:v>
                </c:pt>
                <c:pt idx="2">
                  <c:v>57</c:v>
                </c:pt>
                <c:pt idx="5">
                  <c:v>488</c:v>
                </c:pt>
                <c:pt idx="8">
                  <c:v>3286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5D-4C9A-BF33-334256F92F97}"/>
            </c:ext>
          </c:extLst>
        </c:ser>
        <c:ser>
          <c:idx val="5"/>
          <c:order val="5"/>
          <c:tx>
            <c:strRef>
              <c:f>'PIVOT 3'!$I$4:$I$6</c:f>
              <c:strCache>
                <c:ptCount val="1"/>
                <c:pt idx="0">
                  <c:v>JULY - Sum of TOTAL PRICE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3'!$C$7:$C$16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3'!$I$7:$I$16</c:f>
              <c:numCache>
                <c:formatCode>General</c:formatCode>
                <c:ptCount val="9"/>
                <c:pt idx="0">
                  <c:v>3510000</c:v>
                </c:pt>
                <c:pt idx="1">
                  <c:v>13350000</c:v>
                </c:pt>
                <c:pt idx="2">
                  <c:v>7410000</c:v>
                </c:pt>
                <c:pt idx="5">
                  <c:v>56586000</c:v>
                </c:pt>
                <c:pt idx="8">
                  <c:v>381846000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5D-4C9A-BF33-334256F92F97}"/>
            </c:ext>
          </c:extLst>
        </c:ser>
        <c:ser>
          <c:idx val="6"/>
          <c:order val="6"/>
          <c:tx>
            <c:strRef>
              <c:f>'PIVOT 3'!$J$4:$J$6</c:f>
              <c:strCache>
                <c:ptCount val="1"/>
                <c:pt idx="0">
                  <c:v>AUGUST - Sum of TOTAL PAX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3'!$C$7:$C$16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3'!$J$7:$J$16</c:f>
              <c:numCache>
                <c:formatCode>General</c:formatCode>
                <c:ptCount val="9"/>
                <c:pt idx="0">
                  <c:v>62</c:v>
                </c:pt>
                <c:pt idx="1">
                  <c:v>129</c:v>
                </c:pt>
                <c:pt idx="2">
                  <c:v>236</c:v>
                </c:pt>
                <c:pt idx="3">
                  <c:v>130</c:v>
                </c:pt>
                <c:pt idx="4">
                  <c:v>1529</c:v>
                </c:pt>
                <c:pt idx="5">
                  <c:v>528</c:v>
                </c:pt>
                <c:pt idx="6">
                  <c:v>40</c:v>
                </c:pt>
                <c:pt idx="7">
                  <c:v>7</c:v>
                </c:pt>
                <c:pt idx="8">
                  <c:v>2057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5D-4C9A-BF33-334256F92F97}"/>
            </c:ext>
          </c:extLst>
        </c:ser>
        <c:ser>
          <c:idx val="7"/>
          <c:order val="7"/>
          <c:tx>
            <c:strRef>
              <c:f>'PIVOT 3'!$K$4:$K$6</c:f>
              <c:strCache>
                <c:ptCount val="1"/>
                <c:pt idx="0">
                  <c:v>AUGUST - Sum of TOTAL PRICE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3'!$C$7:$C$16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3'!$K$7:$K$16</c:f>
              <c:numCache>
                <c:formatCode>General</c:formatCode>
                <c:ptCount val="9"/>
                <c:pt idx="0">
                  <c:v>8060000</c:v>
                </c:pt>
                <c:pt idx="1">
                  <c:v>19350000</c:v>
                </c:pt>
                <c:pt idx="2">
                  <c:v>30680000</c:v>
                </c:pt>
                <c:pt idx="3">
                  <c:v>16900000</c:v>
                </c:pt>
                <c:pt idx="4">
                  <c:v>198770000</c:v>
                </c:pt>
                <c:pt idx="5">
                  <c:v>60658040</c:v>
                </c:pt>
                <c:pt idx="6">
                  <c:v>4400000</c:v>
                </c:pt>
                <c:pt idx="7">
                  <c:v>4500000</c:v>
                </c:pt>
                <c:pt idx="8">
                  <c:v>237265300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5D-4C9A-BF33-334256F92F97}"/>
            </c:ext>
          </c:extLst>
        </c:ser>
        <c:ser>
          <c:idx val="8"/>
          <c:order val="8"/>
          <c:tx>
            <c:strRef>
              <c:f>'PIVOT 3'!$L$4:$L$6</c:f>
              <c:strCache>
                <c:ptCount val="1"/>
                <c:pt idx="0">
                  <c:v>SEPTEMBER - Sum of TOTAL PAX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3'!$C$7:$C$16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3'!$L$7:$L$16</c:f>
              <c:numCache>
                <c:formatCode>General</c:formatCode>
                <c:ptCount val="9"/>
                <c:pt idx="0">
                  <c:v>33</c:v>
                </c:pt>
                <c:pt idx="1">
                  <c:v>68</c:v>
                </c:pt>
                <c:pt idx="2">
                  <c:v>185</c:v>
                </c:pt>
                <c:pt idx="3">
                  <c:v>106</c:v>
                </c:pt>
                <c:pt idx="4">
                  <c:v>1214</c:v>
                </c:pt>
                <c:pt idx="5">
                  <c:v>266</c:v>
                </c:pt>
                <c:pt idx="6">
                  <c:v>19</c:v>
                </c:pt>
                <c:pt idx="7">
                  <c:v>5</c:v>
                </c:pt>
                <c:pt idx="8">
                  <c:v>1543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5D-4C9A-BF33-334256F92F97}"/>
            </c:ext>
          </c:extLst>
        </c:ser>
        <c:ser>
          <c:idx val="9"/>
          <c:order val="9"/>
          <c:tx>
            <c:strRef>
              <c:f>'PIVOT 3'!$M$4:$M$6</c:f>
              <c:strCache>
                <c:ptCount val="1"/>
                <c:pt idx="0">
                  <c:v>SEPTEMBER - Sum of TOTAL PRICE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3'!$C$7:$C$16</c:f>
              <c:strCache>
                <c:ptCount val="9"/>
                <c:pt idx="0">
                  <c:v>BJB</c:v>
                </c:pt>
                <c:pt idx="1">
                  <c:v>DRAGON PASS</c:v>
                </c:pt>
                <c:pt idx="2">
                  <c:v>HSBC</c:v>
                </c:pt>
                <c:pt idx="3">
                  <c:v>OCBC</c:v>
                </c:pt>
                <c:pt idx="4">
                  <c:v>PRIOTIY PASS</c:v>
                </c:pt>
                <c:pt idx="5">
                  <c:v>QRIS</c:v>
                </c:pt>
                <c:pt idx="6">
                  <c:v>VIETJET</c:v>
                </c:pt>
                <c:pt idx="7">
                  <c:v>VIPROOM</c:v>
                </c:pt>
                <c:pt idx="8">
                  <c:v>WALK-IN</c:v>
                </c:pt>
              </c:strCache>
            </c:strRef>
          </c:cat>
          <c:val>
            <c:numRef>
              <c:f>'PIVOT 3'!$M$7:$M$16</c:f>
              <c:numCache>
                <c:formatCode>General</c:formatCode>
                <c:ptCount val="9"/>
                <c:pt idx="0">
                  <c:v>4290000</c:v>
                </c:pt>
                <c:pt idx="1">
                  <c:v>10200000</c:v>
                </c:pt>
                <c:pt idx="2">
                  <c:v>24050000</c:v>
                </c:pt>
                <c:pt idx="3">
                  <c:v>13780000</c:v>
                </c:pt>
                <c:pt idx="4">
                  <c:v>157820000</c:v>
                </c:pt>
                <c:pt idx="5">
                  <c:v>34580000</c:v>
                </c:pt>
                <c:pt idx="6">
                  <c:v>2090000</c:v>
                </c:pt>
                <c:pt idx="7">
                  <c:v>4000000</c:v>
                </c:pt>
                <c:pt idx="8">
                  <c:v>185780000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5D-4C9A-BF33-334256F92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306468624"/>
        <c:axId val="-306464816"/>
      </c:barChart>
      <c:catAx>
        <c:axId val="-30646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6464816"/>
        <c:crosses val="autoZero"/>
        <c:auto val="1"/>
        <c:lblAlgn val="ctr"/>
        <c:lblOffset val="100"/>
        <c:noMultiLvlLbl val="0"/>
      </c:catAx>
      <c:valAx>
        <c:axId val="-30646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646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185737</xdr:rowOff>
    </xdr:from>
    <xdr:to>
      <xdr:col>18</xdr:col>
      <xdr:colOff>228600</xdr:colOff>
      <xdr:row>26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</xdr:rowOff>
    </xdr:from>
    <xdr:to>
      <xdr:col>1</xdr:col>
      <xdr:colOff>390524</xdr:colOff>
      <xdr:row>3</xdr:row>
      <xdr:rowOff>192766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49A916-6066-40E9-AF1B-FDFBD7043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525"/>
          <a:ext cx="882014" cy="7928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</xdr:rowOff>
    </xdr:from>
    <xdr:to>
      <xdr:col>1</xdr:col>
      <xdr:colOff>390524</xdr:colOff>
      <xdr:row>3</xdr:row>
      <xdr:rowOff>192766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01FF6C-1E6E-4335-815D-5ADE1804F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525"/>
          <a:ext cx="882014" cy="7928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</xdr:rowOff>
    </xdr:from>
    <xdr:to>
      <xdr:col>1</xdr:col>
      <xdr:colOff>390524</xdr:colOff>
      <xdr:row>3</xdr:row>
      <xdr:rowOff>192766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E30F4-4B49-477C-A4A5-D960EA9EA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525"/>
          <a:ext cx="882014" cy="7928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</xdr:rowOff>
    </xdr:from>
    <xdr:to>
      <xdr:col>1</xdr:col>
      <xdr:colOff>390524</xdr:colOff>
      <xdr:row>3</xdr:row>
      <xdr:rowOff>192766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62BAA4-14BA-4B92-A70A-3602BCC36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525"/>
          <a:ext cx="882014" cy="79284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</xdr:rowOff>
    </xdr:from>
    <xdr:to>
      <xdr:col>1</xdr:col>
      <xdr:colOff>390524</xdr:colOff>
      <xdr:row>3</xdr:row>
      <xdr:rowOff>192766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09CA1B-F0BD-40F9-AB2D-A479C6136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525"/>
          <a:ext cx="882014" cy="7928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</xdr:rowOff>
    </xdr:from>
    <xdr:to>
      <xdr:col>1</xdr:col>
      <xdr:colOff>390524</xdr:colOff>
      <xdr:row>3</xdr:row>
      <xdr:rowOff>192766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A5550F-EB2F-42CF-9B31-03F73E8DC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525"/>
          <a:ext cx="882014" cy="7928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</xdr:rowOff>
    </xdr:from>
    <xdr:to>
      <xdr:col>1</xdr:col>
      <xdr:colOff>390524</xdr:colOff>
      <xdr:row>3</xdr:row>
      <xdr:rowOff>192766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868C27-F1E1-4B66-95D7-8F09DB5BB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525"/>
          <a:ext cx="882014" cy="7928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</xdr:rowOff>
    </xdr:from>
    <xdr:to>
      <xdr:col>1</xdr:col>
      <xdr:colOff>390524</xdr:colOff>
      <xdr:row>3</xdr:row>
      <xdr:rowOff>192766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519F2E-6599-4C2A-A3A8-6E9921C26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525"/>
          <a:ext cx="882014" cy="79284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</xdr:rowOff>
    </xdr:from>
    <xdr:to>
      <xdr:col>1</xdr:col>
      <xdr:colOff>390524</xdr:colOff>
      <xdr:row>3</xdr:row>
      <xdr:rowOff>192766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031556-8876-49CE-943E-874CBE1DF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525"/>
          <a:ext cx="882014" cy="7928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</xdr:rowOff>
    </xdr:from>
    <xdr:to>
      <xdr:col>1</xdr:col>
      <xdr:colOff>390524</xdr:colOff>
      <xdr:row>3</xdr:row>
      <xdr:rowOff>192766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262AC9-6513-416F-A441-3E06F9592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525"/>
          <a:ext cx="882014" cy="79284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</xdr:rowOff>
    </xdr:from>
    <xdr:to>
      <xdr:col>1</xdr:col>
      <xdr:colOff>390524</xdr:colOff>
      <xdr:row>3</xdr:row>
      <xdr:rowOff>192766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9D410A-AF4E-4B94-A1BC-749C847FA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525"/>
          <a:ext cx="882014" cy="79284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</xdr:rowOff>
    </xdr:from>
    <xdr:to>
      <xdr:col>1</xdr:col>
      <xdr:colOff>390524</xdr:colOff>
      <xdr:row>3</xdr:row>
      <xdr:rowOff>192766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C5604E-3BBE-4958-90F9-CF4CE4875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525"/>
          <a:ext cx="882014" cy="79284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22</xdr:row>
      <xdr:rowOff>61912</xdr:rowOff>
    </xdr:from>
    <xdr:to>
      <xdr:col>10</xdr:col>
      <xdr:colOff>914400</xdr:colOff>
      <xdr:row>36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179614</xdr:colOff>
      <xdr:row>33</xdr:row>
      <xdr:rowOff>36058</xdr:rowOff>
    </xdr:from>
    <xdr:to>
      <xdr:col>9</xdr:col>
      <xdr:colOff>310243</xdr:colOff>
      <xdr:row>47</xdr:row>
      <xdr:rowOff>112258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KSO%20APS/SOETTA/2019/Juni/LK%20Juni%2019.xlsx" TargetMode="External" 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FEDI/Desktop/PAX%20230/Laporan%20Pos/12.14%20LAPORAN%20KEKURANGAN%20POS%20DES%2014.xls" TargetMode="External" 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KSO%20APS/SOETTA/2019/JANUARI/laporan%20januari%202019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JE,GL"/>
      <sheetName val="2. NERACA LAJUR "/>
      <sheetName val="4. LABA RUGI"/>
      <sheetName val="3. NERACA"/>
    </sheetNames>
    <sheetDataSet>
      <sheetData sheetId="0" refreshError="1"/>
      <sheetData sheetId="1">
        <row r="1">
          <cell r="J1">
            <v>145621594</v>
          </cell>
        </row>
        <row r="5">
          <cell r="A5" t="str">
            <v>Kas Kantor</v>
          </cell>
        </row>
        <row r="6">
          <cell r="A6" t="str">
            <v>Kas Lounge Saphire</v>
          </cell>
        </row>
        <row r="7">
          <cell r="A7" t="str">
            <v>Kas Lounge Umroh</v>
          </cell>
        </row>
        <row r="9">
          <cell r="A9" t="str">
            <v>Bank BRI 042501000611300</v>
          </cell>
        </row>
        <row r="10">
          <cell r="A10" t="str">
            <v>Bank BRI 042501000610304</v>
          </cell>
        </row>
        <row r="11">
          <cell r="A11" t="str">
            <v>Bank BCA 5510704446</v>
          </cell>
        </row>
        <row r="12">
          <cell r="A12" t="str">
            <v>Mandiri</v>
          </cell>
        </row>
        <row r="13">
          <cell r="A13" t="str">
            <v>BNI</v>
          </cell>
        </row>
        <row r="15">
          <cell r="A15" t="str">
            <v>Piutang Bank BRI</v>
          </cell>
        </row>
        <row r="16">
          <cell r="A16" t="str">
            <v>Piutang Bank Bukopin</v>
          </cell>
        </row>
        <row r="17">
          <cell r="A17" t="str">
            <v>Piutang PT Bank Negara Indonesia</v>
          </cell>
        </row>
        <row r="18">
          <cell r="A18" t="str">
            <v>Piutang PT Bank UOB</v>
          </cell>
        </row>
        <row r="19">
          <cell r="A19" t="str">
            <v>Piutang DragonPASS</v>
          </cell>
        </row>
        <row r="20">
          <cell r="A20" t="str">
            <v>Piutang PT Infomedia Nusantara</v>
          </cell>
        </row>
        <row r="21">
          <cell r="A21" t="str">
            <v>Piutang PT Indonesia Air Asia</v>
          </cell>
        </row>
        <row r="22">
          <cell r="A22" t="str">
            <v>Piutang ICBC</v>
          </cell>
        </row>
        <row r="23">
          <cell r="A23" t="str">
            <v>Piutang DANAMON</v>
          </cell>
        </row>
        <row r="24">
          <cell r="A24" t="str">
            <v>Piutang MUAMALAT</v>
          </cell>
        </row>
        <row r="25">
          <cell r="A25" t="str">
            <v>Piutang Batik Airlines</v>
          </cell>
        </row>
        <row r="26">
          <cell r="A26" t="str">
            <v>Piutang Gaya Spa</v>
          </cell>
        </row>
        <row r="27">
          <cell r="A27" t="str">
            <v xml:space="preserve">Piutang Q n B </v>
          </cell>
        </row>
        <row r="28">
          <cell r="A28" t="str">
            <v>Piutang PRIORITY PASS</v>
          </cell>
        </row>
        <row r="29">
          <cell r="A29" t="str">
            <v xml:space="preserve">Piutang PT Sriwijaya Air </v>
          </cell>
        </row>
        <row r="30">
          <cell r="A30" t="str">
            <v>Piutang PT NAM Air</v>
          </cell>
        </row>
        <row r="31">
          <cell r="A31" t="str">
            <v>Piutang PT Lion Mentari Airlines</v>
          </cell>
        </row>
        <row r="32">
          <cell r="A32" t="str">
            <v>Piutang Malindo Airlines</v>
          </cell>
        </row>
        <row r="33">
          <cell r="A33" t="str">
            <v xml:space="preserve">Piutang BJB </v>
          </cell>
        </row>
        <row r="34">
          <cell r="A34" t="str">
            <v>Piutang JAS</v>
          </cell>
        </row>
        <row r="35">
          <cell r="A35" t="str">
            <v>Piutang BTN</v>
          </cell>
        </row>
        <row r="36">
          <cell r="A36" t="str">
            <v>Piutang mandiri</v>
          </cell>
        </row>
        <row r="37">
          <cell r="A37" t="str">
            <v>Piutang Pracico</v>
          </cell>
        </row>
        <row r="38">
          <cell r="A38" t="str">
            <v>Piutang Lounge Key</v>
          </cell>
        </row>
        <row r="39">
          <cell r="A39" t="str">
            <v>Piutang BCA</v>
          </cell>
        </row>
        <row r="40">
          <cell r="A40" t="str">
            <v>Piutang Tamu DPR/MPR</v>
          </cell>
        </row>
        <row r="41">
          <cell r="A41" t="str">
            <v>Piutang OVO</v>
          </cell>
        </row>
        <row r="43">
          <cell r="A43" t="str">
            <v>Piutang Karyawan - Yuni</v>
          </cell>
        </row>
        <row r="44">
          <cell r="A44" t="str">
            <v>Piutang Karyawan - Rama</v>
          </cell>
        </row>
        <row r="45">
          <cell r="A45" t="str">
            <v>Piutang Karyawan - Ramandala</v>
          </cell>
        </row>
        <row r="46">
          <cell r="A46" t="str">
            <v>Piutang Karyawan - Ari sentana</v>
          </cell>
        </row>
        <row r="48">
          <cell r="A48" t="str">
            <v>Piutang Lounge Jambi</v>
          </cell>
        </row>
        <row r="49">
          <cell r="A49" t="str">
            <v>Piutang PT Trikama Boga</v>
          </cell>
        </row>
        <row r="51">
          <cell r="A51" t="str">
            <v>Pendapatan Yang Masih harus diterima</v>
          </cell>
        </row>
        <row r="53">
          <cell r="A53" t="str">
            <v>Aset lancar lainnya</v>
          </cell>
        </row>
        <row r="54">
          <cell r="A54" t="str">
            <v>APS receivables</v>
          </cell>
        </row>
        <row r="55">
          <cell r="A55" t="str">
            <v>TB receivables</v>
          </cell>
        </row>
        <row r="57">
          <cell r="A57" t="str">
            <v>PPN - Pemungut</v>
          </cell>
        </row>
        <row r="58">
          <cell r="A58" t="str">
            <v>PPN Masukan</v>
          </cell>
        </row>
        <row r="59">
          <cell r="A59" t="str">
            <v>PPN Keluaran</v>
          </cell>
        </row>
        <row r="61">
          <cell r="A61" t="str">
            <v>Uang Muka Pembelian</v>
          </cell>
        </row>
        <row r="62">
          <cell r="A62" t="str">
            <v>Uang Muka Operasional</v>
          </cell>
        </row>
        <row r="63">
          <cell r="A63" t="str">
            <v>Uang Muka Belanja Pasar</v>
          </cell>
        </row>
        <row r="64">
          <cell r="A64" t="str">
            <v>Uang Muka Fastrack</v>
          </cell>
        </row>
        <row r="65">
          <cell r="A65" t="str">
            <v>Uang Muka Lounge Umroh</v>
          </cell>
        </row>
        <row r="66">
          <cell r="A66" t="str">
            <v xml:space="preserve">Uang Muka Sewa gudang lounge Umroh </v>
          </cell>
        </row>
        <row r="68">
          <cell r="A68" t="str">
            <v>Peralatan Kantor</v>
          </cell>
        </row>
        <row r="69">
          <cell r="A69" t="str">
            <v>Peralatan Lounge</v>
          </cell>
        </row>
        <row r="70">
          <cell r="A70" t="str">
            <v>Peralatan Lounge Umroh</v>
          </cell>
        </row>
        <row r="71">
          <cell r="A71" t="str">
            <v>Partisi Gedung</v>
          </cell>
        </row>
        <row r="72">
          <cell r="A72" t="str">
            <v>Akum. Penys. Peralatan Kantor</v>
          </cell>
        </row>
        <row r="73">
          <cell r="A73" t="str">
            <v>Akum. Penys. Peralatan Lounge</v>
          </cell>
        </row>
        <row r="74">
          <cell r="A74" t="str">
            <v>Akum. Peny.  Peralatan Lounge Umroh</v>
          </cell>
        </row>
        <row r="75">
          <cell r="A75" t="str">
            <v>Akum. Penys. Partisi Gedung</v>
          </cell>
        </row>
        <row r="77">
          <cell r="A77" t="str">
            <v>Utang Usaha - PT. Utama Karya Sentosa ( Union )</v>
          </cell>
        </row>
        <row r="78">
          <cell r="A78" t="str">
            <v>Utang Usaha - PT. Indomarco Adi Prima</v>
          </cell>
        </row>
        <row r="79">
          <cell r="A79" t="str">
            <v>PT Atori Kreasi</v>
          </cell>
        </row>
        <row r="80">
          <cell r="A80" t="str">
            <v>Utang Usaha - PT Amanah Prima Indonesia</v>
          </cell>
        </row>
        <row r="81">
          <cell r="A81" t="str">
            <v>Utang Usaha - Toko Siap Ayam</v>
          </cell>
        </row>
        <row r="83">
          <cell r="A83" t="str">
            <v>BYMHD - Konsesi Lounge (APS)</v>
          </cell>
        </row>
        <row r="84">
          <cell r="A84" t="str">
            <v>BYMHD - Sewa Ruang (APS)</v>
          </cell>
        </row>
        <row r="85">
          <cell r="A85" t="str">
            <v>BYMHD - Pajak PPh 21</v>
          </cell>
        </row>
        <row r="86">
          <cell r="A86" t="str">
            <v>BYMHD - lain-lain</v>
          </cell>
        </row>
        <row r="88">
          <cell r="A88" t="str">
            <v>VAT Out (PPn keluaran)</v>
          </cell>
        </row>
        <row r="89">
          <cell r="A89" t="str">
            <v xml:space="preserve">Utang Pajak Daerah (PB1) </v>
          </cell>
        </row>
        <row r="91">
          <cell r="A91" t="str">
            <v>Utang pembagian keuntungan bersih 2016,2017-APS</v>
          </cell>
        </row>
        <row r="92">
          <cell r="A92" t="str">
            <v>Utang pembagian keuntungan bersih 2016,2017-TB</v>
          </cell>
        </row>
        <row r="95">
          <cell r="A95" t="str">
            <v>Pendapatan Walk In Cash</v>
          </cell>
        </row>
        <row r="96">
          <cell r="A96" t="str">
            <v>Pendapatan Walk in EDC</v>
          </cell>
        </row>
        <row r="97">
          <cell r="A97" t="str">
            <v>Pendapatan Service</v>
          </cell>
        </row>
        <row r="98">
          <cell r="A98" t="str">
            <v>Pendapatan Spa</v>
          </cell>
        </row>
        <row r="99">
          <cell r="A99" t="str">
            <v>Pendapatan Lounge Umroh</v>
          </cell>
        </row>
        <row r="101">
          <cell r="A101" t="str">
            <v>Biaya Lounge Insentif</v>
          </cell>
        </row>
        <row r="102">
          <cell r="A102" t="str">
            <v>Biaya Pajak PPH 21</v>
          </cell>
        </row>
        <row r="103">
          <cell r="A103" t="str">
            <v>Biaya Gaji</v>
          </cell>
        </row>
        <row r="104">
          <cell r="A104" t="str">
            <v>Biaya tunjangan Hari Raya</v>
          </cell>
        </row>
        <row r="105">
          <cell r="A105" t="str">
            <v>Biaya Asuransi Karyawan BPJS Kesehatan</v>
          </cell>
        </row>
        <row r="106">
          <cell r="A106" t="str">
            <v>Biaya Asuransi Karyawan BPJS TK</v>
          </cell>
        </row>
        <row r="107">
          <cell r="A107" t="str">
            <v>Biaya Outsourchin ISS</v>
          </cell>
        </row>
        <row r="108">
          <cell r="A108" t="str">
            <v>Biaya Lounge Air</v>
          </cell>
        </row>
        <row r="109">
          <cell r="A109" t="str">
            <v>Biaya Lounge Listrik</v>
          </cell>
        </row>
        <row r="110">
          <cell r="A110" t="str">
            <v>Biaya Lounge Telepon</v>
          </cell>
        </row>
        <row r="111">
          <cell r="A111" t="str">
            <v>Biaya Lounge ATK</v>
          </cell>
        </row>
        <row r="112">
          <cell r="A112" t="str">
            <v>Biaya Lounge Bahan Baku Saphire Lounge</v>
          </cell>
        </row>
        <row r="113">
          <cell r="A113" t="str">
            <v>Biaya Lounge BBm</v>
          </cell>
        </row>
        <row r="114">
          <cell r="A114" t="str">
            <v>Biaya Lounge HO</v>
          </cell>
        </row>
        <row r="115">
          <cell r="A115" t="str">
            <v>Biaya Lounge Jasa Lainnya</v>
          </cell>
        </row>
        <row r="116">
          <cell r="A116" t="str">
            <v>Biaya Lounge Keamanan dan Kebersihan</v>
          </cell>
        </row>
        <row r="117">
          <cell r="A117" t="str">
            <v>Biaya Lounge Koran</v>
          </cell>
        </row>
        <row r="118">
          <cell r="A118" t="str">
            <v>Biaya Lounge Obat obatan</v>
          </cell>
        </row>
        <row r="119">
          <cell r="A119" t="str">
            <v>Biaya Lounge Pajak Daerah</v>
          </cell>
        </row>
        <row r="120">
          <cell r="A120" t="str">
            <v>Biaya Lounge Pass Bandara</v>
          </cell>
        </row>
        <row r="121">
          <cell r="A121" t="str">
            <v>Biaya Lounge Perawatan dan Maintenance</v>
          </cell>
        </row>
        <row r="122">
          <cell r="A122" t="str">
            <v>Biaya Lounge Peralatan</v>
          </cell>
        </row>
        <row r="123">
          <cell r="A123" t="str">
            <v>Biaya Lounge Perlengkapan</v>
          </cell>
        </row>
        <row r="124">
          <cell r="A124" t="str">
            <v>Biaya Lounge PB1</v>
          </cell>
        </row>
        <row r="125">
          <cell r="A125" t="str">
            <v>Biaya Lounge Promosi</v>
          </cell>
        </row>
        <row r="126">
          <cell r="A126" t="str">
            <v>Biaya Lounge Spedy atau internet</v>
          </cell>
        </row>
        <row r="127">
          <cell r="A127" t="str">
            <v>Biaya Lounge Transport</v>
          </cell>
        </row>
        <row r="128">
          <cell r="A128" t="str">
            <v>Biaya Lounge Umum</v>
          </cell>
        </row>
        <row r="129">
          <cell r="A129" t="str">
            <v>Biaya Lounge Sewa Lounge (APS)</v>
          </cell>
        </row>
        <row r="130">
          <cell r="A130" t="str">
            <v>Biaya Lounge Konsesi (APS)</v>
          </cell>
        </row>
        <row r="131">
          <cell r="A131" t="str">
            <v>Biaya Lounge Konsesi Sewa Tempat ATM CB</v>
          </cell>
        </row>
        <row r="132">
          <cell r="A132" t="str">
            <v xml:space="preserve">Biaya Lounge Sewa Gudang </v>
          </cell>
        </row>
        <row r="133">
          <cell r="A133" t="str">
            <v xml:space="preserve">Biaya Lounge Sewa Mobil </v>
          </cell>
        </row>
        <row r="134">
          <cell r="A134" t="str">
            <v>Biaya Lounge Jasa GH</v>
          </cell>
        </row>
        <row r="136">
          <cell r="A136" t="str">
            <v>Biaya gaji lounge Umroh</v>
          </cell>
        </row>
        <row r="137">
          <cell r="A137" t="str">
            <v>Biaya Lounge Insentif Lounge Umroh</v>
          </cell>
        </row>
        <row r="138">
          <cell r="A138" t="str">
            <v>Biaya lounge air galon lounge umroh</v>
          </cell>
        </row>
        <row r="139">
          <cell r="A139" t="str">
            <v>Biaya Lounge AiR Lounge Umroh</v>
          </cell>
        </row>
        <row r="140">
          <cell r="A140" t="str">
            <v>Biaya Lounge Listrik  Lounge Umroh</v>
          </cell>
        </row>
        <row r="141">
          <cell r="A141" t="str">
            <v>Biaya Lounge Telepon Lounge Umroh</v>
          </cell>
        </row>
        <row r="142">
          <cell r="A142" t="str">
            <v>Biaya Lounge ATK Lounge Umroh</v>
          </cell>
        </row>
        <row r="143">
          <cell r="A143" t="str">
            <v>Biaya Lounge Bahan Baku Lounge Umroh</v>
          </cell>
        </row>
        <row r="144">
          <cell r="A144" t="str">
            <v>Biaya BBM Lounge Umroh</v>
          </cell>
        </row>
        <row r="145">
          <cell r="A145" t="str">
            <v>Biaya Lounge Keamanan dan Kebersihan Lounge Umroh</v>
          </cell>
        </row>
        <row r="146">
          <cell r="A146" t="str">
            <v>Biaya Lounge Perawatan dan Perawatan Lounge Umroh</v>
          </cell>
        </row>
        <row r="147">
          <cell r="A147" t="str">
            <v>Biaya Lounge Peralatan &amp; Perlengkapan Lounge Umroh</v>
          </cell>
        </row>
        <row r="148">
          <cell r="A148" t="str">
            <v>Biaya Sewa Mobil Lounge Umroh</v>
          </cell>
        </row>
        <row r="149">
          <cell r="A149" t="str">
            <v>Biaya Lounge Sewa Gudang Lounge Umroh</v>
          </cell>
        </row>
        <row r="150">
          <cell r="A150" t="str">
            <v>Biaya Legal Lounge Umroh</v>
          </cell>
        </row>
        <row r="151">
          <cell r="A151" t="str">
            <v>Biaya obat- obatan lounge umroh</v>
          </cell>
        </row>
        <row r="152">
          <cell r="A152" t="str">
            <v>Biaya maintenance lounge umroh</v>
          </cell>
        </row>
        <row r="153">
          <cell r="A153" t="str">
            <v>Biaya donasi lounge umroh</v>
          </cell>
        </row>
        <row r="154">
          <cell r="A154" t="str">
            <v>Biaya lain lain lounge umroh</v>
          </cell>
        </row>
        <row r="156">
          <cell r="A156" t="str">
            <v>Biaya BBM</v>
          </cell>
        </row>
        <row r="157">
          <cell r="A157" t="str">
            <v>Biaya Transportasi</v>
          </cell>
        </row>
        <row r="158">
          <cell r="A158" t="str">
            <v>Biaya ATK</v>
          </cell>
        </row>
        <row r="159">
          <cell r="A159" t="str">
            <v>Biaya cetak form kso</v>
          </cell>
        </row>
        <row r="160">
          <cell r="A160" t="str">
            <v>Biaya Apar</v>
          </cell>
        </row>
        <row r="161">
          <cell r="A161" t="str">
            <v>Biaya Pelatihan</v>
          </cell>
        </row>
        <row r="162">
          <cell r="A162" t="str">
            <v>Biaya telepon</v>
          </cell>
        </row>
        <row r="163">
          <cell r="A163" t="str">
            <v>Biaya Pengobatan</v>
          </cell>
        </row>
        <row r="164">
          <cell r="A164" t="str">
            <v>Beban Pajak</v>
          </cell>
        </row>
        <row r="165">
          <cell r="A165" t="str">
            <v>Biaya Penys. Kendaraan</v>
          </cell>
        </row>
        <row r="166">
          <cell r="A166" t="str">
            <v>Biaya Penys. Peralatan Kantor</v>
          </cell>
        </row>
        <row r="168">
          <cell r="A168" t="str">
            <v>Biaya Penys. Peralatan Lounge</v>
          </cell>
        </row>
        <row r="170">
          <cell r="A170" t="str">
            <v>Biaya Penys. Peralatan Lounge Umroh</v>
          </cell>
        </row>
        <row r="172">
          <cell r="A172" t="str">
            <v>Biaya Penys. Partisi Gedung</v>
          </cell>
        </row>
        <row r="173">
          <cell r="A173" t="str">
            <v>Biaya Penys. Aset</v>
          </cell>
        </row>
        <row r="174">
          <cell r="A174" t="str">
            <v>Biaya amortisasi operasional</v>
          </cell>
        </row>
        <row r="175">
          <cell r="A175" t="str">
            <v>Biaya Jasa Profesional</v>
          </cell>
        </row>
        <row r="176">
          <cell r="A176" t="str">
            <v>Biaya Penilaian</v>
          </cell>
        </row>
        <row r="177">
          <cell r="A177" t="str">
            <v>Biaya Service Charge Fee</v>
          </cell>
        </row>
        <row r="178">
          <cell r="A178" t="str">
            <v>Biaya Fastrack</v>
          </cell>
        </row>
        <row r="179">
          <cell r="A179" t="str">
            <v>Biaya Lounge Umroh</v>
          </cell>
        </row>
        <row r="180">
          <cell r="A180" t="str">
            <v>Biaya Denda BPJS TK</v>
          </cell>
        </row>
        <row r="181">
          <cell r="A181" t="str">
            <v xml:space="preserve">Beban PPh Pasal 23 </v>
          </cell>
        </row>
        <row r="182">
          <cell r="A182" t="str">
            <v>Beban PPH 4 ayat 2</v>
          </cell>
        </row>
        <row r="183">
          <cell r="A183" t="str">
            <v>Biaya rapat</v>
          </cell>
        </row>
        <row r="184">
          <cell r="A184" t="str">
            <v>Biaya donasi</v>
          </cell>
        </row>
        <row r="185">
          <cell r="A185" t="str">
            <v>Biaya lain-lain</v>
          </cell>
        </row>
        <row r="186">
          <cell r="A186" t="str">
            <v>Biaya perjalanan dinas</v>
          </cell>
        </row>
        <row r="187">
          <cell r="A187" t="str">
            <v xml:space="preserve">Biaya Perbaikan dan Pemeliharaan </v>
          </cell>
        </row>
        <row r="188">
          <cell r="A188" t="str">
            <v xml:space="preserve">Biaya administrasi dan umum lain </v>
          </cell>
        </row>
        <row r="189">
          <cell r="A189" t="str">
            <v xml:space="preserve">Biaya Kantor </v>
          </cell>
        </row>
        <row r="190">
          <cell r="A190" t="str">
            <v xml:space="preserve">Biaya Konsumsi </v>
          </cell>
        </row>
        <row r="191">
          <cell r="A191" t="str">
            <v xml:space="preserve">Biaya Internet </v>
          </cell>
        </row>
        <row r="192">
          <cell r="A192" t="str">
            <v xml:space="preserve">Biaya Legal </v>
          </cell>
        </row>
        <row r="193">
          <cell r="A193" t="str">
            <v xml:space="preserve">Biaya Pengiriman </v>
          </cell>
        </row>
        <row r="194">
          <cell r="A194" t="str">
            <v>Biaya Bahan Baku Lounge Umroh</v>
          </cell>
        </row>
        <row r="195">
          <cell r="A195" t="str">
            <v>Biaya Sewa Lounge Umroh</v>
          </cell>
        </row>
        <row r="196">
          <cell r="A196" t="str">
            <v>Biaya keamanan Lounge Umroh</v>
          </cell>
        </row>
        <row r="197">
          <cell r="A197" t="str">
            <v>Biaya Kebersihan Lounge Umroh</v>
          </cell>
        </row>
        <row r="199">
          <cell r="A199" t="str">
            <v>Biaya Administrasi Bank</v>
          </cell>
        </row>
        <row r="200">
          <cell r="A200" t="str">
            <v>Pajak Rekening atau pajak Jasa Giro</v>
          </cell>
        </row>
        <row r="201">
          <cell r="A201" t="str">
            <v>POST SILANG</v>
          </cell>
        </row>
        <row r="202">
          <cell r="A202" t="str">
            <v>Bunga Rekening atau Jasa Giro</v>
          </cell>
        </row>
        <row r="203">
          <cell r="A203" t="str">
            <v>Pendapatan lain-lain</v>
          </cell>
        </row>
        <row r="205">
          <cell r="A205" t="str">
            <v>Laba berjalan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mestik"/>
      <sheetName val="Inter"/>
      <sheetName val="Summary"/>
      <sheetName val="ALL"/>
      <sheetName val="KK"/>
      <sheetName val="PRIORITAS"/>
      <sheetName val="LAP"/>
      <sheetName val="LAP1"/>
      <sheetName val="Sheet3"/>
    </sheetNames>
    <sheetDataSet>
      <sheetData sheetId="0" refreshError="1"/>
      <sheetData sheetId="1" refreshError="1"/>
      <sheetData sheetId="2" refreshError="1"/>
      <sheetData sheetId="3">
        <row r="2">
          <cell r="D2" t="str">
            <v>Tanggal</v>
          </cell>
          <cell r="U2" t="str">
            <v>BRI Prioritas</v>
          </cell>
          <cell r="Z2" t="str">
            <v>kk</v>
          </cell>
        </row>
        <row r="3">
          <cell r="D3">
            <v>41974</v>
          </cell>
          <cell r="U3">
            <v>0</v>
          </cell>
          <cell r="Z3">
            <v>1</v>
          </cell>
        </row>
        <row r="4">
          <cell r="D4">
            <v>41974</v>
          </cell>
          <cell r="U4">
            <v>0</v>
          </cell>
          <cell r="Z4">
            <v>1</v>
          </cell>
        </row>
        <row r="5">
          <cell r="D5">
            <v>41974</v>
          </cell>
          <cell r="U5">
            <v>3</v>
          </cell>
          <cell r="Z5">
            <v>0</v>
          </cell>
        </row>
        <row r="6">
          <cell r="D6">
            <v>41974</v>
          </cell>
          <cell r="U6">
            <v>0</v>
          </cell>
          <cell r="Z6">
            <v>1</v>
          </cell>
        </row>
        <row r="7">
          <cell r="D7">
            <v>41974</v>
          </cell>
          <cell r="U7">
            <v>0</v>
          </cell>
          <cell r="Z7">
            <v>1</v>
          </cell>
        </row>
        <row r="8">
          <cell r="D8">
            <v>41974</v>
          </cell>
          <cell r="U8">
            <v>1</v>
          </cell>
          <cell r="Z8">
            <v>0</v>
          </cell>
        </row>
        <row r="9">
          <cell r="D9">
            <v>41974</v>
          </cell>
          <cell r="U9">
            <v>0</v>
          </cell>
          <cell r="Z9">
            <v>1</v>
          </cell>
        </row>
        <row r="10">
          <cell r="D10">
            <v>41974</v>
          </cell>
          <cell r="U10">
            <v>1</v>
          </cell>
          <cell r="Z10">
            <v>0</v>
          </cell>
        </row>
        <row r="11">
          <cell r="D11">
            <v>41974</v>
          </cell>
          <cell r="U11">
            <v>0</v>
          </cell>
          <cell r="Z11">
            <v>1</v>
          </cell>
        </row>
        <row r="12">
          <cell r="D12">
            <v>41974</v>
          </cell>
          <cell r="U12">
            <v>0</v>
          </cell>
          <cell r="Z12">
            <v>1</v>
          </cell>
        </row>
        <row r="13">
          <cell r="D13">
            <v>41974</v>
          </cell>
          <cell r="U13">
            <v>0</v>
          </cell>
          <cell r="Z13">
            <v>1</v>
          </cell>
        </row>
        <row r="14">
          <cell r="D14">
            <v>41974</v>
          </cell>
          <cell r="U14">
            <v>0</v>
          </cell>
          <cell r="Z14">
            <v>1</v>
          </cell>
        </row>
        <row r="15">
          <cell r="D15">
            <v>41974</v>
          </cell>
          <cell r="U15">
            <v>0</v>
          </cell>
          <cell r="Z15">
            <v>1</v>
          </cell>
        </row>
        <row r="16">
          <cell r="D16">
            <v>41974</v>
          </cell>
          <cell r="U16">
            <v>1</v>
          </cell>
          <cell r="Z16">
            <v>0</v>
          </cell>
        </row>
        <row r="17">
          <cell r="D17">
            <v>41974</v>
          </cell>
          <cell r="U17">
            <v>1</v>
          </cell>
          <cell r="Z17">
            <v>0</v>
          </cell>
        </row>
        <row r="18">
          <cell r="D18">
            <v>41974</v>
          </cell>
          <cell r="U18">
            <v>3</v>
          </cell>
          <cell r="Z18">
            <v>0</v>
          </cell>
        </row>
        <row r="19">
          <cell r="D19">
            <v>41974</v>
          </cell>
          <cell r="U19">
            <v>3</v>
          </cell>
          <cell r="Z19">
            <v>0</v>
          </cell>
        </row>
        <row r="20">
          <cell r="D20">
            <v>41974</v>
          </cell>
          <cell r="U20">
            <v>2</v>
          </cell>
          <cell r="Z20">
            <v>0</v>
          </cell>
        </row>
        <row r="21">
          <cell r="D21">
            <v>41974</v>
          </cell>
          <cell r="U21">
            <v>0</v>
          </cell>
          <cell r="Z21">
            <v>1</v>
          </cell>
        </row>
        <row r="22">
          <cell r="D22">
            <v>41974</v>
          </cell>
          <cell r="U22">
            <v>0</v>
          </cell>
          <cell r="Z22">
            <v>1</v>
          </cell>
        </row>
        <row r="23">
          <cell r="D23">
            <v>41974</v>
          </cell>
          <cell r="U23">
            <v>3</v>
          </cell>
          <cell r="Z23">
            <v>0</v>
          </cell>
        </row>
        <row r="24">
          <cell r="D24">
            <v>41974</v>
          </cell>
          <cell r="U24">
            <v>0</v>
          </cell>
          <cell r="Z24">
            <v>1</v>
          </cell>
        </row>
        <row r="25">
          <cell r="D25">
            <v>41974</v>
          </cell>
          <cell r="U25">
            <v>0</v>
          </cell>
          <cell r="Z25">
            <v>1</v>
          </cell>
        </row>
        <row r="26">
          <cell r="D26">
            <v>41974</v>
          </cell>
          <cell r="U26">
            <v>1</v>
          </cell>
          <cell r="Z26">
            <v>0</v>
          </cell>
        </row>
        <row r="27">
          <cell r="D27">
            <v>41974</v>
          </cell>
          <cell r="U27">
            <v>0</v>
          </cell>
          <cell r="Z27">
            <v>1</v>
          </cell>
        </row>
        <row r="28">
          <cell r="D28">
            <v>41974</v>
          </cell>
          <cell r="U28">
            <v>0</v>
          </cell>
          <cell r="Z28">
            <v>1</v>
          </cell>
        </row>
        <row r="29">
          <cell r="D29">
            <v>41974</v>
          </cell>
          <cell r="U29">
            <v>1</v>
          </cell>
          <cell r="Z29">
            <v>0</v>
          </cell>
        </row>
        <row r="30">
          <cell r="D30">
            <v>41974</v>
          </cell>
          <cell r="U30">
            <v>0</v>
          </cell>
          <cell r="Z30">
            <v>1</v>
          </cell>
        </row>
        <row r="31">
          <cell r="D31">
            <v>41974</v>
          </cell>
          <cell r="U31">
            <v>0</v>
          </cell>
          <cell r="Z31">
            <v>1</v>
          </cell>
        </row>
        <row r="32">
          <cell r="D32">
            <v>41974</v>
          </cell>
          <cell r="U32">
            <v>2</v>
          </cell>
          <cell r="Z32">
            <v>0</v>
          </cell>
        </row>
        <row r="33">
          <cell r="D33">
            <v>41974</v>
          </cell>
          <cell r="U33">
            <v>0</v>
          </cell>
          <cell r="Z33">
            <v>1</v>
          </cell>
        </row>
        <row r="34">
          <cell r="D34">
            <v>41974</v>
          </cell>
          <cell r="U34">
            <v>0</v>
          </cell>
          <cell r="Z34">
            <v>1</v>
          </cell>
        </row>
        <row r="35">
          <cell r="D35">
            <v>41974</v>
          </cell>
          <cell r="U35">
            <v>0</v>
          </cell>
          <cell r="Z35">
            <v>1</v>
          </cell>
        </row>
        <row r="36">
          <cell r="D36">
            <v>41974</v>
          </cell>
          <cell r="U36">
            <v>2</v>
          </cell>
          <cell r="Z36">
            <v>0</v>
          </cell>
        </row>
        <row r="37">
          <cell r="D37">
            <v>41974</v>
          </cell>
          <cell r="U37">
            <v>0</v>
          </cell>
          <cell r="Z37">
            <v>1</v>
          </cell>
        </row>
        <row r="38">
          <cell r="D38">
            <v>41974</v>
          </cell>
          <cell r="U38">
            <v>0</v>
          </cell>
          <cell r="Z38">
            <v>1</v>
          </cell>
        </row>
        <row r="39">
          <cell r="D39">
            <v>41974</v>
          </cell>
          <cell r="U39">
            <v>0</v>
          </cell>
          <cell r="Z39">
            <v>1</v>
          </cell>
        </row>
        <row r="40">
          <cell r="D40">
            <v>41974</v>
          </cell>
          <cell r="U40">
            <v>0</v>
          </cell>
          <cell r="Z40">
            <v>1</v>
          </cell>
        </row>
        <row r="41">
          <cell r="D41">
            <v>41974</v>
          </cell>
          <cell r="U41">
            <v>0</v>
          </cell>
          <cell r="Z41">
            <v>1</v>
          </cell>
        </row>
        <row r="42">
          <cell r="D42">
            <v>41974</v>
          </cell>
          <cell r="U42">
            <v>0</v>
          </cell>
          <cell r="Z42">
            <v>1</v>
          </cell>
        </row>
        <row r="43">
          <cell r="D43">
            <v>41974</v>
          </cell>
          <cell r="U43">
            <v>0</v>
          </cell>
          <cell r="Z43">
            <v>1</v>
          </cell>
        </row>
        <row r="44">
          <cell r="D44">
            <v>41974</v>
          </cell>
          <cell r="U44">
            <v>0</v>
          </cell>
          <cell r="Z44">
            <v>1</v>
          </cell>
        </row>
        <row r="45">
          <cell r="D45">
            <v>41974</v>
          </cell>
          <cell r="U45">
            <v>0</v>
          </cell>
          <cell r="Z45">
            <v>1</v>
          </cell>
        </row>
        <row r="46">
          <cell r="D46">
            <v>41974</v>
          </cell>
          <cell r="U46">
            <v>3</v>
          </cell>
          <cell r="Z46">
            <v>0</v>
          </cell>
        </row>
        <row r="47">
          <cell r="D47">
            <v>41974</v>
          </cell>
          <cell r="U47">
            <v>0</v>
          </cell>
          <cell r="Z47">
            <v>1</v>
          </cell>
        </row>
        <row r="48">
          <cell r="D48">
            <v>41974</v>
          </cell>
          <cell r="U48">
            <v>0</v>
          </cell>
          <cell r="Z48">
            <v>1</v>
          </cell>
        </row>
        <row r="49">
          <cell r="D49">
            <v>41974</v>
          </cell>
          <cell r="U49">
            <v>0</v>
          </cell>
          <cell r="Z49">
            <v>1</v>
          </cell>
        </row>
        <row r="50">
          <cell r="D50">
            <v>41974</v>
          </cell>
          <cell r="U50">
            <v>2</v>
          </cell>
          <cell r="Z50">
            <v>0</v>
          </cell>
        </row>
        <row r="51">
          <cell r="D51">
            <v>41974</v>
          </cell>
          <cell r="U51">
            <v>1</v>
          </cell>
          <cell r="Z51">
            <v>0</v>
          </cell>
        </row>
        <row r="52">
          <cell r="D52">
            <v>41974</v>
          </cell>
          <cell r="U52">
            <v>0</v>
          </cell>
          <cell r="Z52">
            <v>1</v>
          </cell>
        </row>
        <row r="53">
          <cell r="D53">
            <v>41974</v>
          </cell>
          <cell r="U53">
            <v>2</v>
          </cell>
          <cell r="Z53">
            <v>0</v>
          </cell>
        </row>
        <row r="54">
          <cell r="D54">
            <v>41974</v>
          </cell>
          <cell r="U54">
            <v>3</v>
          </cell>
          <cell r="Z54">
            <v>0</v>
          </cell>
        </row>
        <row r="55">
          <cell r="D55">
            <v>41974</v>
          </cell>
          <cell r="U55">
            <v>1</v>
          </cell>
          <cell r="Z55">
            <v>0</v>
          </cell>
        </row>
        <row r="56">
          <cell r="D56">
            <v>41974</v>
          </cell>
          <cell r="U56">
            <v>2</v>
          </cell>
          <cell r="Z56">
            <v>0</v>
          </cell>
        </row>
        <row r="57">
          <cell r="D57">
            <v>41974</v>
          </cell>
          <cell r="U57">
            <v>3</v>
          </cell>
          <cell r="Z57">
            <v>0</v>
          </cell>
        </row>
        <row r="58">
          <cell r="D58">
            <v>41974</v>
          </cell>
          <cell r="U58">
            <v>0</v>
          </cell>
          <cell r="Z58">
            <v>1</v>
          </cell>
        </row>
        <row r="59">
          <cell r="D59">
            <v>41974</v>
          </cell>
          <cell r="U59">
            <v>2</v>
          </cell>
          <cell r="Z59">
            <v>0</v>
          </cell>
        </row>
        <row r="60">
          <cell r="D60">
            <v>41974</v>
          </cell>
          <cell r="U60">
            <v>0</v>
          </cell>
          <cell r="Z60">
            <v>1</v>
          </cell>
        </row>
        <row r="61">
          <cell r="D61">
            <v>41974</v>
          </cell>
          <cell r="U61">
            <v>0</v>
          </cell>
          <cell r="Z61">
            <v>1</v>
          </cell>
        </row>
        <row r="62">
          <cell r="D62">
            <v>41974</v>
          </cell>
          <cell r="U62">
            <v>2</v>
          </cell>
          <cell r="Z62">
            <v>0</v>
          </cell>
        </row>
        <row r="63">
          <cell r="D63">
            <v>41974</v>
          </cell>
          <cell r="U63">
            <v>2</v>
          </cell>
          <cell r="Z63">
            <v>0</v>
          </cell>
        </row>
        <row r="64">
          <cell r="D64">
            <v>41974</v>
          </cell>
          <cell r="U64">
            <v>0</v>
          </cell>
          <cell r="Z64">
            <v>1</v>
          </cell>
        </row>
        <row r="65">
          <cell r="D65">
            <v>41974</v>
          </cell>
          <cell r="U65">
            <v>0</v>
          </cell>
          <cell r="Z65">
            <v>1</v>
          </cell>
        </row>
        <row r="66">
          <cell r="D66">
            <v>41974</v>
          </cell>
          <cell r="U66">
            <v>0</v>
          </cell>
          <cell r="Z66">
            <v>1</v>
          </cell>
        </row>
        <row r="67">
          <cell r="D67">
            <v>41974</v>
          </cell>
          <cell r="U67">
            <v>0</v>
          </cell>
          <cell r="Z67">
            <v>1</v>
          </cell>
        </row>
        <row r="68">
          <cell r="D68">
            <v>41974</v>
          </cell>
          <cell r="U68">
            <v>2</v>
          </cell>
          <cell r="Z68">
            <v>0</v>
          </cell>
        </row>
        <row r="69">
          <cell r="D69">
            <v>41974</v>
          </cell>
          <cell r="U69">
            <v>0</v>
          </cell>
          <cell r="Z69">
            <v>1</v>
          </cell>
        </row>
        <row r="70">
          <cell r="D70">
            <v>41974</v>
          </cell>
          <cell r="U70">
            <v>0</v>
          </cell>
          <cell r="Z70">
            <v>1</v>
          </cell>
        </row>
        <row r="71">
          <cell r="D71">
            <v>41974</v>
          </cell>
          <cell r="U71">
            <v>2</v>
          </cell>
          <cell r="Z71">
            <v>0</v>
          </cell>
        </row>
        <row r="72">
          <cell r="D72">
            <v>41974</v>
          </cell>
          <cell r="U72">
            <v>0</v>
          </cell>
          <cell r="Z72">
            <v>1</v>
          </cell>
        </row>
        <row r="73">
          <cell r="D73">
            <v>41974</v>
          </cell>
          <cell r="U73">
            <v>0</v>
          </cell>
          <cell r="Z73">
            <v>1</v>
          </cell>
        </row>
        <row r="74">
          <cell r="D74">
            <v>41974</v>
          </cell>
          <cell r="U74">
            <v>2</v>
          </cell>
          <cell r="Z74">
            <v>0</v>
          </cell>
        </row>
        <row r="75">
          <cell r="D75">
            <v>41974</v>
          </cell>
          <cell r="U75">
            <v>0</v>
          </cell>
          <cell r="Z75">
            <v>1</v>
          </cell>
        </row>
        <row r="76">
          <cell r="D76">
            <v>41974</v>
          </cell>
          <cell r="U76">
            <v>1</v>
          </cell>
          <cell r="Z76">
            <v>0</v>
          </cell>
        </row>
        <row r="77">
          <cell r="D77">
            <v>41974</v>
          </cell>
          <cell r="U77">
            <v>0</v>
          </cell>
          <cell r="Z77">
            <v>1</v>
          </cell>
        </row>
        <row r="78">
          <cell r="D78">
            <v>41974</v>
          </cell>
          <cell r="U78">
            <v>2</v>
          </cell>
          <cell r="Z78">
            <v>0</v>
          </cell>
        </row>
        <row r="79">
          <cell r="D79">
            <v>41974</v>
          </cell>
          <cell r="U79">
            <v>0</v>
          </cell>
          <cell r="Z79">
            <v>1</v>
          </cell>
        </row>
        <row r="80">
          <cell r="D80">
            <v>41974</v>
          </cell>
          <cell r="U80">
            <v>0</v>
          </cell>
          <cell r="Z80">
            <v>1</v>
          </cell>
        </row>
        <row r="81">
          <cell r="D81">
            <v>41974</v>
          </cell>
          <cell r="U81">
            <v>1</v>
          </cell>
          <cell r="Z81">
            <v>0</v>
          </cell>
        </row>
        <row r="82">
          <cell r="D82">
            <v>41974</v>
          </cell>
          <cell r="U82">
            <v>2</v>
          </cell>
          <cell r="Z82">
            <v>0</v>
          </cell>
        </row>
        <row r="83">
          <cell r="D83">
            <v>41974</v>
          </cell>
          <cell r="U83">
            <v>0</v>
          </cell>
          <cell r="Z83">
            <v>1</v>
          </cell>
        </row>
        <row r="84">
          <cell r="D84">
            <v>41974</v>
          </cell>
          <cell r="U84">
            <v>0</v>
          </cell>
          <cell r="Z84">
            <v>1</v>
          </cell>
        </row>
        <row r="85">
          <cell r="D85">
            <v>41974</v>
          </cell>
          <cell r="U85">
            <v>0</v>
          </cell>
          <cell r="Z85">
            <v>1</v>
          </cell>
        </row>
        <row r="86">
          <cell r="D86">
            <v>41974</v>
          </cell>
          <cell r="U86">
            <v>1</v>
          </cell>
          <cell r="Z86">
            <v>0</v>
          </cell>
        </row>
        <row r="87">
          <cell r="D87">
            <v>41974</v>
          </cell>
          <cell r="U87">
            <v>2</v>
          </cell>
          <cell r="Z87">
            <v>0</v>
          </cell>
        </row>
        <row r="88">
          <cell r="D88">
            <v>41974</v>
          </cell>
          <cell r="U88">
            <v>0</v>
          </cell>
          <cell r="Z88">
            <v>1</v>
          </cell>
        </row>
        <row r="89">
          <cell r="D89">
            <v>41974</v>
          </cell>
          <cell r="U89">
            <v>1</v>
          </cell>
          <cell r="Z89">
            <v>0</v>
          </cell>
        </row>
        <row r="90">
          <cell r="D90">
            <v>41974</v>
          </cell>
          <cell r="U90">
            <v>1</v>
          </cell>
          <cell r="Z90">
            <v>0</v>
          </cell>
        </row>
        <row r="91">
          <cell r="D91">
            <v>41974</v>
          </cell>
          <cell r="U91">
            <v>1</v>
          </cell>
          <cell r="Z91">
            <v>0</v>
          </cell>
        </row>
        <row r="92">
          <cell r="D92">
            <v>41974</v>
          </cell>
          <cell r="U92">
            <v>1</v>
          </cell>
          <cell r="Z92">
            <v>0</v>
          </cell>
        </row>
        <row r="93">
          <cell r="D93">
            <v>41974</v>
          </cell>
          <cell r="U93">
            <v>0</v>
          </cell>
          <cell r="Z93">
            <v>1</v>
          </cell>
        </row>
        <row r="94">
          <cell r="D94">
            <v>41974</v>
          </cell>
          <cell r="U94">
            <v>3</v>
          </cell>
          <cell r="Z94">
            <v>0</v>
          </cell>
        </row>
        <row r="95">
          <cell r="D95">
            <v>41974</v>
          </cell>
          <cell r="U95">
            <v>1</v>
          </cell>
          <cell r="Z95">
            <v>0</v>
          </cell>
        </row>
        <row r="96">
          <cell r="D96">
            <v>41974</v>
          </cell>
          <cell r="U96">
            <v>0</v>
          </cell>
          <cell r="Z96">
            <v>1</v>
          </cell>
        </row>
        <row r="97">
          <cell r="D97">
            <v>41974</v>
          </cell>
          <cell r="U97">
            <v>1</v>
          </cell>
          <cell r="Z97">
            <v>0</v>
          </cell>
        </row>
        <row r="98">
          <cell r="D98">
            <v>41974</v>
          </cell>
          <cell r="U98">
            <v>3</v>
          </cell>
          <cell r="Z98">
            <v>0</v>
          </cell>
        </row>
        <row r="99">
          <cell r="D99">
            <v>41974</v>
          </cell>
          <cell r="U99">
            <v>2</v>
          </cell>
          <cell r="Z99">
            <v>0</v>
          </cell>
        </row>
        <row r="100">
          <cell r="D100">
            <v>41974</v>
          </cell>
          <cell r="U100">
            <v>1</v>
          </cell>
          <cell r="Z100">
            <v>0</v>
          </cell>
        </row>
        <row r="101">
          <cell r="D101">
            <v>41974</v>
          </cell>
          <cell r="U101">
            <v>1</v>
          </cell>
          <cell r="Z101">
            <v>0</v>
          </cell>
        </row>
        <row r="102">
          <cell r="D102">
            <v>41974</v>
          </cell>
          <cell r="U102">
            <v>0</v>
          </cell>
          <cell r="Z102">
            <v>1</v>
          </cell>
        </row>
        <row r="103">
          <cell r="D103">
            <v>41974</v>
          </cell>
          <cell r="U103">
            <v>0</v>
          </cell>
          <cell r="Z103">
            <v>1</v>
          </cell>
        </row>
        <row r="104">
          <cell r="D104">
            <v>41974</v>
          </cell>
          <cell r="U104">
            <v>0</v>
          </cell>
          <cell r="Z104">
            <v>1</v>
          </cell>
        </row>
        <row r="105">
          <cell r="D105">
            <v>41974</v>
          </cell>
          <cell r="U105">
            <v>0</v>
          </cell>
          <cell r="Z105">
            <v>1</v>
          </cell>
        </row>
        <row r="106">
          <cell r="D106">
            <v>41974</v>
          </cell>
          <cell r="U106">
            <v>0</v>
          </cell>
          <cell r="Z106">
            <v>1</v>
          </cell>
        </row>
        <row r="107">
          <cell r="D107">
            <v>41974</v>
          </cell>
          <cell r="U107">
            <v>0</v>
          </cell>
          <cell r="Z107">
            <v>1</v>
          </cell>
        </row>
        <row r="108">
          <cell r="D108">
            <v>41974</v>
          </cell>
          <cell r="U108">
            <v>0</v>
          </cell>
          <cell r="Z108">
            <v>1</v>
          </cell>
        </row>
        <row r="109">
          <cell r="D109">
            <v>41974</v>
          </cell>
          <cell r="U109">
            <v>3</v>
          </cell>
          <cell r="Z109">
            <v>0</v>
          </cell>
        </row>
        <row r="110">
          <cell r="D110">
            <v>41974</v>
          </cell>
          <cell r="U110">
            <v>1</v>
          </cell>
          <cell r="Z110">
            <v>0</v>
          </cell>
        </row>
        <row r="111">
          <cell r="D111">
            <v>41974</v>
          </cell>
          <cell r="U111">
            <v>3</v>
          </cell>
          <cell r="Z111">
            <v>0</v>
          </cell>
        </row>
        <row r="112">
          <cell r="D112">
            <v>41974</v>
          </cell>
          <cell r="U112">
            <v>0</v>
          </cell>
          <cell r="Z112">
            <v>1</v>
          </cell>
        </row>
        <row r="113">
          <cell r="D113">
            <v>41974</v>
          </cell>
          <cell r="U113">
            <v>3</v>
          </cell>
          <cell r="Z113">
            <v>0</v>
          </cell>
        </row>
        <row r="114">
          <cell r="D114">
            <v>41974</v>
          </cell>
          <cell r="U114">
            <v>0</v>
          </cell>
          <cell r="Z114">
            <v>1</v>
          </cell>
        </row>
        <row r="115">
          <cell r="D115">
            <v>41974</v>
          </cell>
          <cell r="U115">
            <v>3</v>
          </cell>
          <cell r="Z115">
            <v>0</v>
          </cell>
        </row>
        <row r="116">
          <cell r="D116">
            <v>41974</v>
          </cell>
          <cell r="U116">
            <v>3</v>
          </cell>
          <cell r="Z116">
            <v>0</v>
          </cell>
        </row>
        <row r="117">
          <cell r="D117">
            <v>41974</v>
          </cell>
          <cell r="U117">
            <v>3</v>
          </cell>
          <cell r="Z117">
            <v>0</v>
          </cell>
        </row>
        <row r="118">
          <cell r="D118">
            <v>41974</v>
          </cell>
          <cell r="U118">
            <v>0</v>
          </cell>
          <cell r="Z118">
            <v>1</v>
          </cell>
        </row>
        <row r="119">
          <cell r="D119">
            <v>41974</v>
          </cell>
          <cell r="U119">
            <v>0</v>
          </cell>
          <cell r="Z119">
            <v>1</v>
          </cell>
        </row>
        <row r="120">
          <cell r="D120">
            <v>41974</v>
          </cell>
          <cell r="U120">
            <v>2</v>
          </cell>
          <cell r="Z120">
            <v>0</v>
          </cell>
        </row>
        <row r="121">
          <cell r="D121">
            <v>41974</v>
          </cell>
          <cell r="U121">
            <v>1</v>
          </cell>
          <cell r="Z121">
            <v>0</v>
          </cell>
        </row>
        <row r="122">
          <cell r="D122">
            <v>41974</v>
          </cell>
          <cell r="U122">
            <v>1</v>
          </cell>
          <cell r="Z122">
            <v>0</v>
          </cell>
        </row>
        <row r="123">
          <cell r="D123">
            <v>41974</v>
          </cell>
          <cell r="U123">
            <v>0</v>
          </cell>
          <cell r="Z123">
            <v>1</v>
          </cell>
        </row>
        <row r="124">
          <cell r="D124">
            <v>41974</v>
          </cell>
          <cell r="U124">
            <v>0</v>
          </cell>
          <cell r="Z124">
            <v>1</v>
          </cell>
        </row>
        <row r="125">
          <cell r="D125">
            <v>41974</v>
          </cell>
          <cell r="U125">
            <v>1</v>
          </cell>
          <cell r="Z125">
            <v>0</v>
          </cell>
        </row>
        <row r="126">
          <cell r="D126">
            <v>41974</v>
          </cell>
          <cell r="U126">
            <v>0</v>
          </cell>
          <cell r="Z126">
            <v>1</v>
          </cell>
        </row>
        <row r="127">
          <cell r="D127">
            <v>41974</v>
          </cell>
          <cell r="U127">
            <v>3</v>
          </cell>
          <cell r="Z127">
            <v>0</v>
          </cell>
        </row>
        <row r="128">
          <cell r="D128">
            <v>41974</v>
          </cell>
          <cell r="U128">
            <v>0</v>
          </cell>
          <cell r="Z128">
            <v>1</v>
          </cell>
        </row>
        <row r="129">
          <cell r="D129">
            <v>41974</v>
          </cell>
          <cell r="U129">
            <v>0</v>
          </cell>
          <cell r="Z129">
            <v>1</v>
          </cell>
        </row>
        <row r="130">
          <cell r="D130">
            <v>41974</v>
          </cell>
          <cell r="U130">
            <v>0</v>
          </cell>
          <cell r="Z130">
            <v>1</v>
          </cell>
        </row>
        <row r="131">
          <cell r="D131">
            <v>41974</v>
          </cell>
          <cell r="U131">
            <v>0</v>
          </cell>
          <cell r="Z131">
            <v>1</v>
          </cell>
        </row>
        <row r="132">
          <cell r="D132">
            <v>41974</v>
          </cell>
          <cell r="U132">
            <v>0</v>
          </cell>
          <cell r="Z132">
            <v>1</v>
          </cell>
        </row>
        <row r="133">
          <cell r="D133">
            <v>41974</v>
          </cell>
          <cell r="U133">
            <v>0</v>
          </cell>
          <cell r="Z133">
            <v>1</v>
          </cell>
        </row>
        <row r="134">
          <cell r="D134">
            <v>41974</v>
          </cell>
          <cell r="U134">
            <v>0</v>
          </cell>
          <cell r="Z134">
            <v>1</v>
          </cell>
        </row>
        <row r="135">
          <cell r="D135">
            <v>41974</v>
          </cell>
          <cell r="U135">
            <v>0</v>
          </cell>
          <cell r="Z135">
            <v>1</v>
          </cell>
        </row>
        <row r="136">
          <cell r="D136">
            <v>41974</v>
          </cell>
          <cell r="U136">
            <v>0</v>
          </cell>
          <cell r="Z136">
            <v>1</v>
          </cell>
        </row>
        <row r="137">
          <cell r="D137">
            <v>41974</v>
          </cell>
          <cell r="U137">
            <v>0</v>
          </cell>
          <cell r="Z137">
            <v>1</v>
          </cell>
        </row>
        <row r="138">
          <cell r="D138">
            <v>41974</v>
          </cell>
          <cell r="U138">
            <v>1</v>
          </cell>
          <cell r="Z138">
            <v>0</v>
          </cell>
        </row>
        <row r="139">
          <cell r="D139">
            <v>41974</v>
          </cell>
          <cell r="U139">
            <v>1</v>
          </cell>
          <cell r="Z139">
            <v>0</v>
          </cell>
        </row>
        <row r="140">
          <cell r="D140">
            <v>41974</v>
          </cell>
          <cell r="U140">
            <v>1</v>
          </cell>
          <cell r="Z140">
            <v>0</v>
          </cell>
        </row>
        <row r="141">
          <cell r="D141">
            <v>41974</v>
          </cell>
          <cell r="U141">
            <v>2</v>
          </cell>
          <cell r="Z141">
            <v>0</v>
          </cell>
        </row>
        <row r="142">
          <cell r="D142">
            <v>41974</v>
          </cell>
          <cell r="U142">
            <v>1</v>
          </cell>
          <cell r="Z142">
            <v>0</v>
          </cell>
        </row>
        <row r="143">
          <cell r="D143">
            <v>41974</v>
          </cell>
          <cell r="U143">
            <v>2</v>
          </cell>
          <cell r="Z143">
            <v>0</v>
          </cell>
        </row>
        <row r="144">
          <cell r="D144">
            <v>41974</v>
          </cell>
          <cell r="U144">
            <v>0</v>
          </cell>
          <cell r="Z144">
            <v>1</v>
          </cell>
        </row>
        <row r="145">
          <cell r="D145">
            <v>41974</v>
          </cell>
          <cell r="U145">
            <v>3</v>
          </cell>
          <cell r="Z145">
            <v>0</v>
          </cell>
        </row>
        <row r="146">
          <cell r="D146">
            <v>41974</v>
          </cell>
          <cell r="U146">
            <v>1</v>
          </cell>
          <cell r="Z146">
            <v>0</v>
          </cell>
        </row>
        <row r="147">
          <cell r="D147">
            <v>41974</v>
          </cell>
          <cell r="U147">
            <v>0</v>
          </cell>
          <cell r="Z147">
            <v>1</v>
          </cell>
        </row>
        <row r="148">
          <cell r="D148">
            <v>41974</v>
          </cell>
          <cell r="U148">
            <v>0</v>
          </cell>
          <cell r="Z148">
            <v>1</v>
          </cell>
        </row>
        <row r="149">
          <cell r="D149">
            <v>41974</v>
          </cell>
          <cell r="U149">
            <v>0</v>
          </cell>
          <cell r="Z149">
            <v>1</v>
          </cell>
        </row>
        <row r="150">
          <cell r="D150">
            <v>41974</v>
          </cell>
          <cell r="U150">
            <v>3</v>
          </cell>
          <cell r="Z150">
            <v>0</v>
          </cell>
        </row>
        <row r="151">
          <cell r="D151">
            <v>41974</v>
          </cell>
          <cell r="U151">
            <v>0</v>
          </cell>
          <cell r="Z151">
            <v>1</v>
          </cell>
        </row>
        <row r="152">
          <cell r="D152">
            <v>41974</v>
          </cell>
          <cell r="U152">
            <v>0</v>
          </cell>
          <cell r="Z152">
            <v>1</v>
          </cell>
        </row>
        <row r="153">
          <cell r="D153">
            <v>41974</v>
          </cell>
          <cell r="U153">
            <v>0</v>
          </cell>
          <cell r="Z153">
            <v>1</v>
          </cell>
        </row>
        <row r="154">
          <cell r="D154">
            <v>41974</v>
          </cell>
          <cell r="U154">
            <v>0</v>
          </cell>
          <cell r="Z154">
            <v>1</v>
          </cell>
        </row>
        <row r="155">
          <cell r="D155">
            <v>41974</v>
          </cell>
          <cell r="U155">
            <v>0</v>
          </cell>
          <cell r="Z155">
            <v>1</v>
          </cell>
        </row>
        <row r="156">
          <cell r="D156">
            <v>41974</v>
          </cell>
          <cell r="U156">
            <v>0</v>
          </cell>
          <cell r="Z156">
            <v>1</v>
          </cell>
        </row>
        <row r="157">
          <cell r="D157">
            <v>41974</v>
          </cell>
          <cell r="U157">
            <v>0</v>
          </cell>
          <cell r="Z157">
            <v>1</v>
          </cell>
        </row>
        <row r="158">
          <cell r="D158">
            <v>41974</v>
          </cell>
          <cell r="U158">
            <v>1</v>
          </cell>
          <cell r="Z158">
            <v>0</v>
          </cell>
        </row>
        <row r="159">
          <cell r="D159">
            <v>41974</v>
          </cell>
          <cell r="U159">
            <v>1</v>
          </cell>
          <cell r="Z159">
            <v>0</v>
          </cell>
        </row>
        <row r="160">
          <cell r="D160">
            <v>41974</v>
          </cell>
          <cell r="U160">
            <v>0</v>
          </cell>
          <cell r="Z160">
            <v>1</v>
          </cell>
        </row>
        <row r="161">
          <cell r="D161">
            <v>41974</v>
          </cell>
          <cell r="U161">
            <v>3</v>
          </cell>
          <cell r="Z161">
            <v>0</v>
          </cell>
        </row>
        <row r="162">
          <cell r="D162">
            <v>41974</v>
          </cell>
          <cell r="U162">
            <v>2</v>
          </cell>
          <cell r="Z162">
            <v>0</v>
          </cell>
        </row>
        <row r="163">
          <cell r="D163">
            <v>41974</v>
          </cell>
          <cell r="U163">
            <v>0</v>
          </cell>
          <cell r="Z163">
            <v>1</v>
          </cell>
        </row>
        <row r="164">
          <cell r="D164">
            <v>41974</v>
          </cell>
          <cell r="U164">
            <v>2</v>
          </cell>
          <cell r="Z164">
            <v>0</v>
          </cell>
        </row>
        <row r="165">
          <cell r="D165">
            <v>41974</v>
          </cell>
          <cell r="U165">
            <v>0</v>
          </cell>
          <cell r="Z165">
            <v>1</v>
          </cell>
        </row>
        <row r="166">
          <cell r="D166">
            <v>41974</v>
          </cell>
          <cell r="U166">
            <v>0</v>
          </cell>
          <cell r="Z166">
            <v>1</v>
          </cell>
        </row>
        <row r="167">
          <cell r="D167">
            <v>41974</v>
          </cell>
          <cell r="U167">
            <v>0</v>
          </cell>
          <cell r="Z167">
            <v>1</v>
          </cell>
        </row>
        <row r="168">
          <cell r="D168">
            <v>41974</v>
          </cell>
          <cell r="U168">
            <v>2</v>
          </cell>
          <cell r="Z168">
            <v>0</v>
          </cell>
        </row>
        <row r="169">
          <cell r="D169">
            <v>41974</v>
          </cell>
          <cell r="U169">
            <v>0</v>
          </cell>
          <cell r="Z169">
            <v>1</v>
          </cell>
        </row>
        <row r="170">
          <cell r="D170">
            <v>41974</v>
          </cell>
          <cell r="U170">
            <v>3</v>
          </cell>
          <cell r="Z170">
            <v>0</v>
          </cell>
        </row>
        <row r="171">
          <cell r="D171">
            <v>41974</v>
          </cell>
          <cell r="U171">
            <v>0</v>
          </cell>
          <cell r="Z171">
            <v>1</v>
          </cell>
        </row>
        <row r="172">
          <cell r="D172">
            <v>41974</v>
          </cell>
          <cell r="U172">
            <v>2</v>
          </cell>
          <cell r="Z172">
            <v>0</v>
          </cell>
        </row>
        <row r="173">
          <cell r="D173">
            <v>41974</v>
          </cell>
          <cell r="U173">
            <v>0</v>
          </cell>
          <cell r="Z173">
            <v>1</v>
          </cell>
        </row>
        <row r="174">
          <cell r="D174">
            <v>41974</v>
          </cell>
          <cell r="U174">
            <v>0</v>
          </cell>
          <cell r="Z174">
            <v>1</v>
          </cell>
        </row>
        <row r="175">
          <cell r="D175">
            <v>41974</v>
          </cell>
          <cell r="U175">
            <v>1</v>
          </cell>
          <cell r="Z175">
            <v>0</v>
          </cell>
        </row>
        <row r="176">
          <cell r="D176">
            <v>41974</v>
          </cell>
          <cell r="U176">
            <v>0</v>
          </cell>
          <cell r="Z176">
            <v>1</v>
          </cell>
        </row>
        <row r="177">
          <cell r="D177">
            <v>41974</v>
          </cell>
          <cell r="U177">
            <v>1</v>
          </cell>
          <cell r="Z177">
            <v>0</v>
          </cell>
        </row>
        <row r="178">
          <cell r="D178">
            <v>41974</v>
          </cell>
          <cell r="U178">
            <v>0</v>
          </cell>
          <cell r="Z178">
            <v>1</v>
          </cell>
        </row>
        <row r="179">
          <cell r="D179">
            <v>41974</v>
          </cell>
          <cell r="U179">
            <v>0</v>
          </cell>
          <cell r="Z179">
            <v>1</v>
          </cell>
        </row>
        <row r="180">
          <cell r="D180">
            <v>41974</v>
          </cell>
          <cell r="U180">
            <v>3</v>
          </cell>
          <cell r="Z180">
            <v>0</v>
          </cell>
        </row>
        <row r="181">
          <cell r="D181">
            <v>41974</v>
          </cell>
          <cell r="U181">
            <v>3</v>
          </cell>
          <cell r="Z181">
            <v>0</v>
          </cell>
        </row>
        <row r="182">
          <cell r="D182">
            <v>41974</v>
          </cell>
          <cell r="U182">
            <v>2</v>
          </cell>
          <cell r="Z182">
            <v>0</v>
          </cell>
        </row>
        <row r="183">
          <cell r="D183">
            <v>41974</v>
          </cell>
          <cell r="U183">
            <v>1</v>
          </cell>
          <cell r="Z183">
            <v>0</v>
          </cell>
        </row>
        <row r="184">
          <cell r="D184">
            <v>41974</v>
          </cell>
          <cell r="U184">
            <v>1</v>
          </cell>
          <cell r="Z184">
            <v>0</v>
          </cell>
        </row>
        <row r="185">
          <cell r="D185">
            <v>41974</v>
          </cell>
          <cell r="U185">
            <v>1</v>
          </cell>
          <cell r="Z185">
            <v>0</v>
          </cell>
        </row>
        <row r="186">
          <cell r="D186">
            <v>41974</v>
          </cell>
          <cell r="U186">
            <v>1</v>
          </cell>
          <cell r="Z186">
            <v>0</v>
          </cell>
        </row>
        <row r="187">
          <cell r="D187">
            <v>41974</v>
          </cell>
          <cell r="U187">
            <v>0</v>
          </cell>
          <cell r="Z187">
            <v>1</v>
          </cell>
        </row>
        <row r="188">
          <cell r="D188">
            <v>41974</v>
          </cell>
          <cell r="U188">
            <v>2</v>
          </cell>
          <cell r="Z188">
            <v>0</v>
          </cell>
        </row>
        <row r="189">
          <cell r="D189">
            <v>41975</v>
          </cell>
          <cell r="U189">
            <v>0</v>
          </cell>
          <cell r="Z189">
            <v>1</v>
          </cell>
        </row>
        <row r="190">
          <cell r="D190">
            <v>41975</v>
          </cell>
          <cell r="U190">
            <v>0</v>
          </cell>
          <cell r="Z190">
            <v>1</v>
          </cell>
        </row>
        <row r="191">
          <cell r="D191">
            <v>41975</v>
          </cell>
          <cell r="U191">
            <v>0</v>
          </cell>
          <cell r="Z191">
            <v>1</v>
          </cell>
        </row>
        <row r="192">
          <cell r="D192">
            <v>41975</v>
          </cell>
          <cell r="U192">
            <v>0</v>
          </cell>
          <cell r="Z192">
            <v>1</v>
          </cell>
        </row>
        <row r="193">
          <cell r="D193">
            <v>41975</v>
          </cell>
          <cell r="U193">
            <v>0</v>
          </cell>
          <cell r="Z193">
            <v>1</v>
          </cell>
        </row>
        <row r="194">
          <cell r="D194">
            <v>41975</v>
          </cell>
          <cell r="U194">
            <v>0</v>
          </cell>
          <cell r="Z194">
            <v>1</v>
          </cell>
        </row>
        <row r="195">
          <cell r="D195">
            <v>41975</v>
          </cell>
          <cell r="U195">
            <v>0</v>
          </cell>
          <cell r="Z195">
            <v>1</v>
          </cell>
        </row>
        <row r="196">
          <cell r="D196">
            <v>41975</v>
          </cell>
          <cell r="U196">
            <v>0</v>
          </cell>
          <cell r="Z196">
            <v>1</v>
          </cell>
        </row>
        <row r="197">
          <cell r="D197">
            <v>41975</v>
          </cell>
          <cell r="U197">
            <v>2</v>
          </cell>
          <cell r="Z197">
            <v>0</v>
          </cell>
        </row>
        <row r="198">
          <cell r="D198">
            <v>41975</v>
          </cell>
          <cell r="U198">
            <v>1</v>
          </cell>
          <cell r="Z198">
            <v>0</v>
          </cell>
        </row>
        <row r="199">
          <cell r="D199">
            <v>41975</v>
          </cell>
          <cell r="U199">
            <v>1</v>
          </cell>
          <cell r="Z199">
            <v>0</v>
          </cell>
        </row>
        <row r="200">
          <cell r="D200">
            <v>41975</v>
          </cell>
          <cell r="U200">
            <v>1</v>
          </cell>
          <cell r="Z200">
            <v>0</v>
          </cell>
        </row>
        <row r="201">
          <cell r="D201">
            <v>41975</v>
          </cell>
          <cell r="U201">
            <v>0</v>
          </cell>
          <cell r="Z201">
            <v>1</v>
          </cell>
        </row>
        <row r="202">
          <cell r="D202">
            <v>41975</v>
          </cell>
          <cell r="U202">
            <v>0</v>
          </cell>
          <cell r="Z202">
            <v>1</v>
          </cell>
        </row>
        <row r="203">
          <cell r="D203">
            <v>41975</v>
          </cell>
          <cell r="U203">
            <v>0</v>
          </cell>
          <cell r="Z203">
            <v>1</v>
          </cell>
        </row>
        <row r="204">
          <cell r="D204">
            <v>41975</v>
          </cell>
          <cell r="U204">
            <v>0</v>
          </cell>
          <cell r="Z204">
            <v>1</v>
          </cell>
        </row>
        <row r="205">
          <cell r="D205">
            <v>41975</v>
          </cell>
          <cell r="U205">
            <v>0</v>
          </cell>
          <cell r="Z205">
            <v>1</v>
          </cell>
        </row>
        <row r="206">
          <cell r="D206">
            <v>41975</v>
          </cell>
          <cell r="U206">
            <v>2</v>
          </cell>
          <cell r="Z206">
            <v>0</v>
          </cell>
        </row>
        <row r="207">
          <cell r="D207">
            <v>41975</v>
          </cell>
          <cell r="U207">
            <v>2</v>
          </cell>
          <cell r="Z207">
            <v>0</v>
          </cell>
        </row>
        <row r="208">
          <cell r="D208">
            <v>41975</v>
          </cell>
          <cell r="U208">
            <v>1</v>
          </cell>
          <cell r="Z208">
            <v>0</v>
          </cell>
        </row>
        <row r="209">
          <cell r="D209">
            <v>41975</v>
          </cell>
          <cell r="U209">
            <v>1</v>
          </cell>
          <cell r="Z209">
            <v>0</v>
          </cell>
        </row>
        <row r="210">
          <cell r="D210">
            <v>41975</v>
          </cell>
          <cell r="U210">
            <v>3</v>
          </cell>
          <cell r="Z210">
            <v>0</v>
          </cell>
        </row>
        <row r="211">
          <cell r="D211">
            <v>41975</v>
          </cell>
          <cell r="U211">
            <v>3</v>
          </cell>
          <cell r="Z211">
            <v>0</v>
          </cell>
        </row>
        <row r="212">
          <cell r="D212">
            <v>41975</v>
          </cell>
          <cell r="U212">
            <v>0</v>
          </cell>
          <cell r="Z212">
            <v>1</v>
          </cell>
        </row>
        <row r="213">
          <cell r="D213">
            <v>41975</v>
          </cell>
          <cell r="U213">
            <v>0</v>
          </cell>
          <cell r="Z213">
            <v>1</v>
          </cell>
        </row>
        <row r="214">
          <cell r="D214">
            <v>41975</v>
          </cell>
          <cell r="U214">
            <v>0</v>
          </cell>
          <cell r="Z214">
            <v>1</v>
          </cell>
        </row>
        <row r="215">
          <cell r="D215">
            <v>41975</v>
          </cell>
          <cell r="U215">
            <v>0</v>
          </cell>
          <cell r="Z215">
            <v>1</v>
          </cell>
        </row>
        <row r="216">
          <cell r="D216">
            <v>41975</v>
          </cell>
          <cell r="U216">
            <v>0</v>
          </cell>
          <cell r="Z216">
            <v>1</v>
          </cell>
        </row>
        <row r="217">
          <cell r="D217">
            <v>41975</v>
          </cell>
          <cell r="U217">
            <v>0</v>
          </cell>
          <cell r="Z217">
            <v>1</v>
          </cell>
        </row>
        <row r="218">
          <cell r="D218">
            <v>41975</v>
          </cell>
          <cell r="U218">
            <v>1</v>
          </cell>
          <cell r="Z218">
            <v>0</v>
          </cell>
        </row>
        <row r="219">
          <cell r="D219">
            <v>41975</v>
          </cell>
          <cell r="U219">
            <v>3</v>
          </cell>
          <cell r="Z219">
            <v>0</v>
          </cell>
        </row>
        <row r="220">
          <cell r="D220">
            <v>41975</v>
          </cell>
          <cell r="U220">
            <v>1</v>
          </cell>
          <cell r="Z220">
            <v>0</v>
          </cell>
        </row>
        <row r="221">
          <cell r="D221">
            <v>41975</v>
          </cell>
          <cell r="U221">
            <v>1</v>
          </cell>
          <cell r="Z221">
            <v>0</v>
          </cell>
        </row>
        <row r="222">
          <cell r="D222">
            <v>41975</v>
          </cell>
          <cell r="U222">
            <v>1</v>
          </cell>
          <cell r="Z222">
            <v>0</v>
          </cell>
        </row>
        <row r="223">
          <cell r="D223">
            <v>41975</v>
          </cell>
          <cell r="U223">
            <v>2</v>
          </cell>
          <cell r="Z223">
            <v>0</v>
          </cell>
        </row>
        <row r="224">
          <cell r="D224">
            <v>41975</v>
          </cell>
          <cell r="U224">
            <v>3</v>
          </cell>
          <cell r="Z224">
            <v>0</v>
          </cell>
        </row>
        <row r="225">
          <cell r="D225">
            <v>41975</v>
          </cell>
          <cell r="U225">
            <v>2</v>
          </cell>
          <cell r="Z225">
            <v>0</v>
          </cell>
        </row>
        <row r="226">
          <cell r="D226">
            <v>41975</v>
          </cell>
          <cell r="U226">
            <v>3</v>
          </cell>
          <cell r="Z226">
            <v>0</v>
          </cell>
        </row>
        <row r="227">
          <cell r="D227">
            <v>41975</v>
          </cell>
          <cell r="U227">
            <v>3</v>
          </cell>
          <cell r="Z227">
            <v>0</v>
          </cell>
        </row>
        <row r="228">
          <cell r="D228">
            <v>41975</v>
          </cell>
          <cell r="U228">
            <v>2</v>
          </cell>
          <cell r="Z228">
            <v>0</v>
          </cell>
        </row>
        <row r="229">
          <cell r="D229">
            <v>41975</v>
          </cell>
          <cell r="U229">
            <v>2</v>
          </cell>
          <cell r="Z229">
            <v>0</v>
          </cell>
        </row>
        <row r="230">
          <cell r="D230">
            <v>41975</v>
          </cell>
          <cell r="U230">
            <v>2</v>
          </cell>
          <cell r="Z230">
            <v>0</v>
          </cell>
        </row>
        <row r="231">
          <cell r="D231">
            <v>41975</v>
          </cell>
          <cell r="U231">
            <v>0</v>
          </cell>
          <cell r="Z231">
            <v>1</v>
          </cell>
        </row>
        <row r="232">
          <cell r="D232">
            <v>41975</v>
          </cell>
          <cell r="U232">
            <v>0</v>
          </cell>
          <cell r="Z232">
            <v>1</v>
          </cell>
        </row>
        <row r="233">
          <cell r="D233">
            <v>41975</v>
          </cell>
          <cell r="U233">
            <v>0</v>
          </cell>
          <cell r="Z233">
            <v>1</v>
          </cell>
        </row>
        <row r="234">
          <cell r="D234">
            <v>41975</v>
          </cell>
          <cell r="U234">
            <v>0</v>
          </cell>
          <cell r="Z234">
            <v>1</v>
          </cell>
        </row>
        <row r="235">
          <cell r="D235">
            <v>41975</v>
          </cell>
          <cell r="U235">
            <v>0</v>
          </cell>
          <cell r="Z235">
            <v>1</v>
          </cell>
        </row>
        <row r="236">
          <cell r="D236">
            <v>41975</v>
          </cell>
          <cell r="U236">
            <v>0</v>
          </cell>
          <cell r="Z236">
            <v>1</v>
          </cell>
        </row>
        <row r="237">
          <cell r="D237">
            <v>41975</v>
          </cell>
          <cell r="U237">
            <v>1</v>
          </cell>
          <cell r="Z237">
            <v>0</v>
          </cell>
        </row>
        <row r="238">
          <cell r="D238">
            <v>41975</v>
          </cell>
          <cell r="U238">
            <v>0</v>
          </cell>
          <cell r="Z238">
            <v>1</v>
          </cell>
        </row>
        <row r="239">
          <cell r="D239">
            <v>41975</v>
          </cell>
          <cell r="U239">
            <v>0</v>
          </cell>
          <cell r="Z239">
            <v>1</v>
          </cell>
        </row>
        <row r="240">
          <cell r="D240">
            <v>41975</v>
          </cell>
          <cell r="U240">
            <v>0</v>
          </cell>
          <cell r="Z240">
            <v>1</v>
          </cell>
        </row>
        <row r="241">
          <cell r="D241">
            <v>41975</v>
          </cell>
          <cell r="U241">
            <v>0</v>
          </cell>
          <cell r="Z241">
            <v>1</v>
          </cell>
        </row>
        <row r="242">
          <cell r="D242">
            <v>41975</v>
          </cell>
          <cell r="U242">
            <v>0</v>
          </cell>
          <cell r="Z242">
            <v>1</v>
          </cell>
        </row>
        <row r="243">
          <cell r="D243">
            <v>41975</v>
          </cell>
          <cell r="U243">
            <v>0</v>
          </cell>
          <cell r="Z243">
            <v>1</v>
          </cell>
        </row>
        <row r="244">
          <cell r="D244">
            <v>41975</v>
          </cell>
          <cell r="U244">
            <v>0</v>
          </cell>
          <cell r="Z244">
            <v>1</v>
          </cell>
        </row>
        <row r="245">
          <cell r="D245">
            <v>41975</v>
          </cell>
          <cell r="U245">
            <v>0</v>
          </cell>
          <cell r="Z245">
            <v>1</v>
          </cell>
        </row>
        <row r="246">
          <cell r="D246">
            <v>41975</v>
          </cell>
          <cell r="U246">
            <v>0</v>
          </cell>
          <cell r="Z246">
            <v>1</v>
          </cell>
        </row>
        <row r="247">
          <cell r="D247">
            <v>41975</v>
          </cell>
          <cell r="U247">
            <v>0</v>
          </cell>
          <cell r="Z247">
            <v>1</v>
          </cell>
        </row>
        <row r="248">
          <cell r="D248">
            <v>41975</v>
          </cell>
          <cell r="U248">
            <v>0</v>
          </cell>
          <cell r="Z248">
            <v>1</v>
          </cell>
        </row>
        <row r="249">
          <cell r="D249">
            <v>41975</v>
          </cell>
          <cell r="U249">
            <v>0</v>
          </cell>
          <cell r="Z249">
            <v>1</v>
          </cell>
        </row>
        <row r="250">
          <cell r="D250">
            <v>41975</v>
          </cell>
          <cell r="U250">
            <v>0</v>
          </cell>
          <cell r="Z250">
            <v>1</v>
          </cell>
        </row>
        <row r="251">
          <cell r="D251">
            <v>41975</v>
          </cell>
          <cell r="U251">
            <v>0</v>
          </cell>
          <cell r="Z251">
            <v>1</v>
          </cell>
        </row>
        <row r="252">
          <cell r="D252">
            <v>41975</v>
          </cell>
          <cell r="U252">
            <v>0</v>
          </cell>
          <cell r="Z252">
            <v>1</v>
          </cell>
        </row>
        <row r="253">
          <cell r="D253">
            <v>41975</v>
          </cell>
          <cell r="U253">
            <v>0</v>
          </cell>
          <cell r="Z253">
            <v>1</v>
          </cell>
        </row>
        <row r="254">
          <cell r="D254">
            <v>41975</v>
          </cell>
          <cell r="U254">
            <v>0</v>
          </cell>
          <cell r="Z254">
            <v>1</v>
          </cell>
        </row>
        <row r="255">
          <cell r="D255">
            <v>41975</v>
          </cell>
          <cell r="U255">
            <v>0</v>
          </cell>
          <cell r="Z255">
            <v>1</v>
          </cell>
        </row>
        <row r="256">
          <cell r="D256">
            <v>41975</v>
          </cell>
          <cell r="U256">
            <v>0</v>
          </cell>
          <cell r="Z256">
            <v>1</v>
          </cell>
        </row>
        <row r="257">
          <cell r="D257">
            <v>41975</v>
          </cell>
          <cell r="U257">
            <v>0</v>
          </cell>
          <cell r="Z257">
            <v>1</v>
          </cell>
        </row>
        <row r="258">
          <cell r="D258">
            <v>41975</v>
          </cell>
          <cell r="U258">
            <v>0</v>
          </cell>
          <cell r="Z258">
            <v>1</v>
          </cell>
        </row>
        <row r="259">
          <cell r="D259">
            <v>41975</v>
          </cell>
          <cell r="U259">
            <v>0</v>
          </cell>
          <cell r="Z259">
            <v>1</v>
          </cell>
        </row>
        <row r="260">
          <cell r="D260">
            <v>41975</v>
          </cell>
          <cell r="U260">
            <v>0</v>
          </cell>
          <cell r="Z260">
            <v>1</v>
          </cell>
        </row>
        <row r="261">
          <cell r="D261">
            <v>41975</v>
          </cell>
          <cell r="U261">
            <v>0</v>
          </cell>
          <cell r="Z261">
            <v>1</v>
          </cell>
        </row>
        <row r="262">
          <cell r="D262">
            <v>41975</v>
          </cell>
          <cell r="U262">
            <v>0</v>
          </cell>
          <cell r="Z262">
            <v>1</v>
          </cell>
        </row>
        <row r="263">
          <cell r="D263">
            <v>41975</v>
          </cell>
          <cell r="U263">
            <v>0</v>
          </cell>
          <cell r="Z263">
            <v>1</v>
          </cell>
        </row>
        <row r="264">
          <cell r="D264">
            <v>41975</v>
          </cell>
          <cell r="U264">
            <v>0</v>
          </cell>
          <cell r="Z264">
            <v>1</v>
          </cell>
        </row>
        <row r="265">
          <cell r="D265">
            <v>41975</v>
          </cell>
          <cell r="U265">
            <v>3</v>
          </cell>
          <cell r="Z265">
            <v>0</v>
          </cell>
        </row>
        <row r="266">
          <cell r="D266">
            <v>41975</v>
          </cell>
          <cell r="U266">
            <v>1</v>
          </cell>
          <cell r="Z266">
            <v>0</v>
          </cell>
        </row>
        <row r="267">
          <cell r="D267">
            <v>41975</v>
          </cell>
          <cell r="U267">
            <v>0</v>
          </cell>
          <cell r="Z267">
            <v>1</v>
          </cell>
        </row>
        <row r="268">
          <cell r="D268">
            <v>41975</v>
          </cell>
          <cell r="U268">
            <v>0</v>
          </cell>
          <cell r="Z268">
            <v>1</v>
          </cell>
        </row>
        <row r="269">
          <cell r="D269">
            <v>41975</v>
          </cell>
          <cell r="U269">
            <v>0</v>
          </cell>
          <cell r="Z269">
            <v>1</v>
          </cell>
        </row>
        <row r="270">
          <cell r="D270">
            <v>41975</v>
          </cell>
          <cell r="U270">
            <v>0</v>
          </cell>
          <cell r="Z270">
            <v>1</v>
          </cell>
        </row>
        <row r="271">
          <cell r="D271">
            <v>41975</v>
          </cell>
          <cell r="U271">
            <v>0</v>
          </cell>
          <cell r="Z271">
            <v>1</v>
          </cell>
        </row>
        <row r="272">
          <cell r="D272">
            <v>41975</v>
          </cell>
          <cell r="U272">
            <v>0</v>
          </cell>
          <cell r="Z272">
            <v>1</v>
          </cell>
        </row>
        <row r="273">
          <cell r="D273">
            <v>41975</v>
          </cell>
          <cell r="U273">
            <v>0</v>
          </cell>
          <cell r="Z273">
            <v>1</v>
          </cell>
        </row>
        <row r="274">
          <cell r="D274">
            <v>41975</v>
          </cell>
          <cell r="U274">
            <v>2</v>
          </cell>
          <cell r="Z274">
            <v>0</v>
          </cell>
        </row>
        <row r="275">
          <cell r="D275">
            <v>41975</v>
          </cell>
          <cell r="U275">
            <v>3</v>
          </cell>
          <cell r="Z275">
            <v>0</v>
          </cell>
        </row>
        <row r="276">
          <cell r="D276">
            <v>41975</v>
          </cell>
          <cell r="U276">
            <v>2</v>
          </cell>
          <cell r="Z276">
            <v>0</v>
          </cell>
        </row>
        <row r="277">
          <cell r="D277">
            <v>41975</v>
          </cell>
          <cell r="U277">
            <v>0</v>
          </cell>
          <cell r="Z277">
            <v>1</v>
          </cell>
        </row>
        <row r="278">
          <cell r="D278">
            <v>41975</v>
          </cell>
          <cell r="U278">
            <v>0</v>
          </cell>
          <cell r="Z278">
            <v>1</v>
          </cell>
        </row>
        <row r="279">
          <cell r="D279">
            <v>41975</v>
          </cell>
          <cell r="U279">
            <v>0</v>
          </cell>
          <cell r="Z279">
            <v>1</v>
          </cell>
        </row>
        <row r="280">
          <cell r="D280">
            <v>41975</v>
          </cell>
          <cell r="U280">
            <v>2</v>
          </cell>
          <cell r="Z280">
            <v>0</v>
          </cell>
        </row>
        <row r="281">
          <cell r="D281">
            <v>41975</v>
          </cell>
          <cell r="U281">
            <v>2</v>
          </cell>
          <cell r="Z281">
            <v>0</v>
          </cell>
        </row>
        <row r="282">
          <cell r="D282">
            <v>41975</v>
          </cell>
          <cell r="U282">
            <v>1</v>
          </cell>
          <cell r="Z282">
            <v>0</v>
          </cell>
        </row>
        <row r="283">
          <cell r="D283">
            <v>41975</v>
          </cell>
          <cell r="U283">
            <v>1</v>
          </cell>
          <cell r="Z283">
            <v>0</v>
          </cell>
        </row>
        <row r="284">
          <cell r="D284">
            <v>41975</v>
          </cell>
          <cell r="U284">
            <v>3</v>
          </cell>
          <cell r="Z284">
            <v>0</v>
          </cell>
        </row>
        <row r="285">
          <cell r="D285">
            <v>41975</v>
          </cell>
          <cell r="U285">
            <v>3</v>
          </cell>
          <cell r="Z285">
            <v>0</v>
          </cell>
        </row>
        <row r="286">
          <cell r="D286">
            <v>41975</v>
          </cell>
          <cell r="U286">
            <v>0</v>
          </cell>
          <cell r="Z286">
            <v>1</v>
          </cell>
        </row>
        <row r="287">
          <cell r="D287">
            <v>41975</v>
          </cell>
          <cell r="U287">
            <v>2</v>
          </cell>
          <cell r="Z287">
            <v>0</v>
          </cell>
        </row>
        <row r="288">
          <cell r="D288">
            <v>41975</v>
          </cell>
          <cell r="U288">
            <v>0</v>
          </cell>
          <cell r="Z288">
            <v>1</v>
          </cell>
        </row>
        <row r="289">
          <cell r="D289">
            <v>41975</v>
          </cell>
          <cell r="U289">
            <v>0</v>
          </cell>
          <cell r="Z289">
            <v>1</v>
          </cell>
        </row>
        <row r="290">
          <cell r="D290">
            <v>41975</v>
          </cell>
          <cell r="U290">
            <v>0</v>
          </cell>
          <cell r="Z290">
            <v>1</v>
          </cell>
        </row>
        <row r="291">
          <cell r="D291">
            <v>41975</v>
          </cell>
          <cell r="U291">
            <v>0</v>
          </cell>
          <cell r="Z291">
            <v>1</v>
          </cell>
        </row>
        <row r="292">
          <cell r="D292">
            <v>41975</v>
          </cell>
          <cell r="U292">
            <v>2</v>
          </cell>
          <cell r="Z292">
            <v>0</v>
          </cell>
        </row>
        <row r="293">
          <cell r="D293">
            <v>41975</v>
          </cell>
          <cell r="U293">
            <v>3</v>
          </cell>
          <cell r="Z293">
            <v>0</v>
          </cell>
        </row>
        <row r="294">
          <cell r="D294">
            <v>41975</v>
          </cell>
          <cell r="U294">
            <v>0</v>
          </cell>
          <cell r="Z294">
            <v>1</v>
          </cell>
        </row>
        <row r="295">
          <cell r="D295">
            <v>41975</v>
          </cell>
          <cell r="U295">
            <v>1</v>
          </cell>
          <cell r="Z295">
            <v>0</v>
          </cell>
        </row>
        <row r="296">
          <cell r="D296">
            <v>41975</v>
          </cell>
          <cell r="U296">
            <v>2</v>
          </cell>
          <cell r="Z296">
            <v>0</v>
          </cell>
        </row>
        <row r="297">
          <cell r="D297">
            <v>41975</v>
          </cell>
          <cell r="U297">
            <v>0</v>
          </cell>
          <cell r="Z297">
            <v>1</v>
          </cell>
        </row>
        <row r="298">
          <cell r="D298">
            <v>41975</v>
          </cell>
          <cell r="U298">
            <v>0</v>
          </cell>
          <cell r="Z298">
            <v>1</v>
          </cell>
        </row>
        <row r="299">
          <cell r="D299">
            <v>41975</v>
          </cell>
          <cell r="U299">
            <v>1</v>
          </cell>
          <cell r="Z299">
            <v>0</v>
          </cell>
        </row>
        <row r="300">
          <cell r="D300">
            <v>41975</v>
          </cell>
          <cell r="U300">
            <v>1</v>
          </cell>
          <cell r="Z300">
            <v>0</v>
          </cell>
        </row>
        <row r="301">
          <cell r="D301">
            <v>41975</v>
          </cell>
          <cell r="U301">
            <v>0</v>
          </cell>
          <cell r="Z301">
            <v>1</v>
          </cell>
        </row>
        <row r="302">
          <cell r="D302">
            <v>41975</v>
          </cell>
          <cell r="U302">
            <v>0</v>
          </cell>
          <cell r="Z302">
            <v>1</v>
          </cell>
        </row>
        <row r="303">
          <cell r="D303">
            <v>41975</v>
          </cell>
          <cell r="U303">
            <v>2</v>
          </cell>
          <cell r="Z303">
            <v>0</v>
          </cell>
        </row>
        <row r="304">
          <cell r="D304">
            <v>41975</v>
          </cell>
          <cell r="U304">
            <v>0</v>
          </cell>
          <cell r="Z304">
            <v>1</v>
          </cell>
        </row>
        <row r="305">
          <cell r="D305">
            <v>41975</v>
          </cell>
          <cell r="U305">
            <v>0</v>
          </cell>
          <cell r="Z305">
            <v>1</v>
          </cell>
        </row>
        <row r="306">
          <cell r="D306">
            <v>41975</v>
          </cell>
          <cell r="U306">
            <v>0</v>
          </cell>
          <cell r="Z306">
            <v>1</v>
          </cell>
        </row>
        <row r="307">
          <cell r="D307">
            <v>41975</v>
          </cell>
          <cell r="U307">
            <v>0</v>
          </cell>
          <cell r="Z307">
            <v>1</v>
          </cell>
        </row>
        <row r="308">
          <cell r="D308">
            <v>41975</v>
          </cell>
          <cell r="U308">
            <v>0</v>
          </cell>
          <cell r="Z308">
            <v>1</v>
          </cell>
        </row>
        <row r="309">
          <cell r="D309">
            <v>41975</v>
          </cell>
          <cell r="U309">
            <v>0</v>
          </cell>
          <cell r="Z309">
            <v>1</v>
          </cell>
        </row>
        <row r="310">
          <cell r="D310">
            <v>41975</v>
          </cell>
          <cell r="U310">
            <v>0</v>
          </cell>
          <cell r="Z310">
            <v>1</v>
          </cell>
        </row>
        <row r="311">
          <cell r="D311">
            <v>41975</v>
          </cell>
          <cell r="U311">
            <v>0</v>
          </cell>
          <cell r="Z311">
            <v>1</v>
          </cell>
        </row>
        <row r="312">
          <cell r="D312">
            <v>41975</v>
          </cell>
          <cell r="U312">
            <v>0</v>
          </cell>
          <cell r="Z312">
            <v>1</v>
          </cell>
        </row>
        <row r="313">
          <cell r="D313">
            <v>41975</v>
          </cell>
          <cell r="U313">
            <v>1</v>
          </cell>
          <cell r="Z313">
            <v>0</v>
          </cell>
        </row>
        <row r="314">
          <cell r="D314">
            <v>41975</v>
          </cell>
          <cell r="U314">
            <v>0</v>
          </cell>
          <cell r="Z314">
            <v>1</v>
          </cell>
        </row>
        <row r="315">
          <cell r="D315">
            <v>41975</v>
          </cell>
          <cell r="U315">
            <v>0</v>
          </cell>
          <cell r="Z315">
            <v>1</v>
          </cell>
        </row>
        <row r="316">
          <cell r="D316">
            <v>41975</v>
          </cell>
          <cell r="U316">
            <v>0</v>
          </cell>
          <cell r="Z316">
            <v>1</v>
          </cell>
        </row>
        <row r="317">
          <cell r="D317">
            <v>41975</v>
          </cell>
          <cell r="U317">
            <v>0</v>
          </cell>
          <cell r="Z317">
            <v>1</v>
          </cell>
        </row>
        <row r="318">
          <cell r="D318">
            <v>41975</v>
          </cell>
          <cell r="U318">
            <v>3</v>
          </cell>
          <cell r="Z318">
            <v>0</v>
          </cell>
        </row>
        <row r="319">
          <cell r="D319">
            <v>41975</v>
          </cell>
          <cell r="U319">
            <v>0</v>
          </cell>
          <cell r="Z319">
            <v>1</v>
          </cell>
        </row>
        <row r="320">
          <cell r="D320">
            <v>41975</v>
          </cell>
          <cell r="U320">
            <v>0</v>
          </cell>
          <cell r="Z320">
            <v>1</v>
          </cell>
        </row>
        <row r="321">
          <cell r="D321">
            <v>41975</v>
          </cell>
          <cell r="U321">
            <v>0</v>
          </cell>
          <cell r="Z321">
            <v>1</v>
          </cell>
        </row>
        <row r="322">
          <cell r="D322">
            <v>41975</v>
          </cell>
          <cell r="U322">
            <v>0</v>
          </cell>
          <cell r="Z322">
            <v>1</v>
          </cell>
        </row>
        <row r="323">
          <cell r="D323">
            <v>41975</v>
          </cell>
          <cell r="U323">
            <v>0</v>
          </cell>
          <cell r="Z323">
            <v>1</v>
          </cell>
        </row>
        <row r="324">
          <cell r="D324">
            <v>41975</v>
          </cell>
          <cell r="U324">
            <v>0</v>
          </cell>
          <cell r="Z324">
            <v>1</v>
          </cell>
        </row>
        <row r="325">
          <cell r="D325">
            <v>41975</v>
          </cell>
          <cell r="U325">
            <v>0</v>
          </cell>
          <cell r="Z325">
            <v>1</v>
          </cell>
        </row>
        <row r="326">
          <cell r="D326">
            <v>41975</v>
          </cell>
          <cell r="U326">
            <v>0</v>
          </cell>
          <cell r="Z326">
            <v>1</v>
          </cell>
        </row>
        <row r="327">
          <cell r="D327">
            <v>41975</v>
          </cell>
          <cell r="U327">
            <v>0</v>
          </cell>
          <cell r="Z327">
            <v>1</v>
          </cell>
        </row>
        <row r="328">
          <cell r="D328">
            <v>41975</v>
          </cell>
          <cell r="U328">
            <v>0</v>
          </cell>
          <cell r="Z328">
            <v>1</v>
          </cell>
        </row>
        <row r="329">
          <cell r="D329">
            <v>41975</v>
          </cell>
          <cell r="U329">
            <v>2</v>
          </cell>
          <cell r="Z329">
            <v>0</v>
          </cell>
        </row>
        <row r="330">
          <cell r="D330">
            <v>41975</v>
          </cell>
          <cell r="U330">
            <v>0</v>
          </cell>
          <cell r="Z330">
            <v>1</v>
          </cell>
        </row>
        <row r="331">
          <cell r="D331">
            <v>41975</v>
          </cell>
          <cell r="U331">
            <v>0</v>
          </cell>
          <cell r="Z331">
            <v>1</v>
          </cell>
        </row>
        <row r="332">
          <cell r="D332">
            <v>41975</v>
          </cell>
          <cell r="U332">
            <v>0</v>
          </cell>
          <cell r="Z332">
            <v>1</v>
          </cell>
        </row>
        <row r="333">
          <cell r="D333">
            <v>41975</v>
          </cell>
          <cell r="U333">
            <v>0</v>
          </cell>
          <cell r="Z333">
            <v>1</v>
          </cell>
        </row>
        <row r="334">
          <cell r="D334">
            <v>41975</v>
          </cell>
          <cell r="U334">
            <v>1</v>
          </cell>
          <cell r="Z334">
            <v>0</v>
          </cell>
        </row>
        <row r="335">
          <cell r="D335">
            <v>41975</v>
          </cell>
          <cell r="U335">
            <v>0</v>
          </cell>
          <cell r="Z335">
            <v>1</v>
          </cell>
        </row>
        <row r="336">
          <cell r="D336">
            <v>41975</v>
          </cell>
          <cell r="U336">
            <v>3</v>
          </cell>
          <cell r="Z336">
            <v>0</v>
          </cell>
        </row>
        <row r="337">
          <cell r="D337">
            <v>41975</v>
          </cell>
          <cell r="U337">
            <v>0</v>
          </cell>
          <cell r="Z337">
            <v>1</v>
          </cell>
        </row>
        <row r="338">
          <cell r="D338">
            <v>41975</v>
          </cell>
          <cell r="U338">
            <v>0</v>
          </cell>
          <cell r="Z338">
            <v>1</v>
          </cell>
        </row>
        <row r="339">
          <cell r="D339">
            <v>41975</v>
          </cell>
          <cell r="U339">
            <v>0</v>
          </cell>
          <cell r="Z339">
            <v>1</v>
          </cell>
        </row>
        <row r="340">
          <cell r="D340">
            <v>41975</v>
          </cell>
          <cell r="U340">
            <v>0</v>
          </cell>
          <cell r="Z340">
            <v>1</v>
          </cell>
        </row>
        <row r="341">
          <cell r="D341">
            <v>41975</v>
          </cell>
          <cell r="U341">
            <v>0</v>
          </cell>
          <cell r="Z341">
            <v>1</v>
          </cell>
        </row>
        <row r="342">
          <cell r="D342">
            <v>41975</v>
          </cell>
          <cell r="U342">
            <v>0</v>
          </cell>
          <cell r="Z342">
            <v>1</v>
          </cell>
        </row>
        <row r="343">
          <cell r="D343">
            <v>41975</v>
          </cell>
          <cell r="U343">
            <v>0</v>
          </cell>
          <cell r="Z343">
            <v>1</v>
          </cell>
        </row>
        <row r="344">
          <cell r="D344">
            <v>41975</v>
          </cell>
          <cell r="U344">
            <v>0</v>
          </cell>
          <cell r="Z344">
            <v>1</v>
          </cell>
        </row>
        <row r="345">
          <cell r="D345">
            <v>41975</v>
          </cell>
          <cell r="U345">
            <v>0</v>
          </cell>
          <cell r="Z345">
            <v>1</v>
          </cell>
        </row>
        <row r="346">
          <cell r="D346">
            <v>41975</v>
          </cell>
          <cell r="U346">
            <v>0</v>
          </cell>
          <cell r="Z346">
            <v>1</v>
          </cell>
        </row>
        <row r="347">
          <cell r="D347">
            <v>41975</v>
          </cell>
          <cell r="U347">
            <v>0</v>
          </cell>
          <cell r="Z347">
            <v>1</v>
          </cell>
        </row>
        <row r="348">
          <cell r="D348">
            <v>41975</v>
          </cell>
          <cell r="U348">
            <v>3</v>
          </cell>
          <cell r="Z348">
            <v>0</v>
          </cell>
        </row>
        <row r="349">
          <cell r="D349">
            <v>41975</v>
          </cell>
          <cell r="U349">
            <v>0</v>
          </cell>
          <cell r="Z349">
            <v>1</v>
          </cell>
        </row>
        <row r="350">
          <cell r="D350">
            <v>41975</v>
          </cell>
          <cell r="U350">
            <v>3</v>
          </cell>
          <cell r="Z350">
            <v>0</v>
          </cell>
        </row>
        <row r="351">
          <cell r="D351">
            <v>41975</v>
          </cell>
          <cell r="U351">
            <v>0</v>
          </cell>
          <cell r="Z351">
            <v>1</v>
          </cell>
        </row>
        <row r="352">
          <cell r="D352">
            <v>41975</v>
          </cell>
          <cell r="U352">
            <v>0</v>
          </cell>
          <cell r="Z352">
            <v>1</v>
          </cell>
        </row>
        <row r="353">
          <cell r="D353">
            <v>41975</v>
          </cell>
          <cell r="U353">
            <v>0</v>
          </cell>
          <cell r="Z353">
            <v>1</v>
          </cell>
        </row>
        <row r="354">
          <cell r="D354">
            <v>41975</v>
          </cell>
          <cell r="U354">
            <v>0</v>
          </cell>
          <cell r="Z354">
            <v>1</v>
          </cell>
        </row>
        <row r="355">
          <cell r="D355">
            <v>41975</v>
          </cell>
          <cell r="U355">
            <v>0</v>
          </cell>
          <cell r="Z355">
            <v>1</v>
          </cell>
        </row>
        <row r="356">
          <cell r="D356">
            <v>41975</v>
          </cell>
          <cell r="U356">
            <v>0</v>
          </cell>
          <cell r="Z356">
            <v>1</v>
          </cell>
        </row>
        <row r="357">
          <cell r="D357">
            <v>41975</v>
          </cell>
          <cell r="U357">
            <v>0</v>
          </cell>
          <cell r="Z357">
            <v>1</v>
          </cell>
        </row>
        <row r="358">
          <cell r="D358">
            <v>41975</v>
          </cell>
          <cell r="U358">
            <v>1</v>
          </cell>
          <cell r="Z358">
            <v>0</v>
          </cell>
        </row>
        <row r="359">
          <cell r="D359">
            <v>41975</v>
          </cell>
          <cell r="U359">
            <v>1</v>
          </cell>
          <cell r="Z359">
            <v>0</v>
          </cell>
        </row>
        <row r="360">
          <cell r="D360">
            <v>41975</v>
          </cell>
          <cell r="U360">
            <v>3</v>
          </cell>
          <cell r="Z360">
            <v>0</v>
          </cell>
        </row>
        <row r="361">
          <cell r="D361">
            <v>41975</v>
          </cell>
          <cell r="U361">
            <v>0</v>
          </cell>
          <cell r="Z361">
            <v>1</v>
          </cell>
        </row>
        <row r="362">
          <cell r="D362">
            <v>41975</v>
          </cell>
          <cell r="U362">
            <v>3</v>
          </cell>
          <cell r="Z362">
            <v>0</v>
          </cell>
        </row>
        <row r="363">
          <cell r="D363">
            <v>41975</v>
          </cell>
          <cell r="U363">
            <v>1</v>
          </cell>
          <cell r="Z363">
            <v>0</v>
          </cell>
        </row>
        <row r="364">
          <cell r="D364">
            <v>41975</v>
          </cell>
          <cell r="U364">
            <v>0</v>
          </cell>
          <cell r="Z364">
            <v>1</v>
          </cell>
        </row>
        <row r="365">
          <cell r="D365">
            <v>41975</v>
          </cell>
          <cell r="U365">
            <v>0</v>
          </cell>
          <cell r="Z365">
            <v>1</v>
          </cell>
        </row>
        <row r="366">
          <cell r="D366">
            <v>41975</v>
          </cell>
          <cell r="U366">
            <v>0</v>
          </cell>
          <cell r="Z366">
            <v>1</v>
          </cell>
        </row>
        <row r="367">
          <cell r="D367">
            <v>41975</v>
          </cell>
          <cell r="U367">
            <v>0</v>
          </cell>
          <cell r="Z367">
            <v>1</v>
          </cell>
        </row>
        <row r="368">
          <cell r="D368">
            <v>41975</v>
          </cell>
          <cell r="U368">
            <v>2</v>
          </cell>
          <cell r="Z368">
            <v>0</v>
          </cell>
        </row>
        <row r="369">
          <cell r="D369">
            <v>41975</v>
          </cell>
          <cell r="U369">
            <v>2</v>
          </cell>
          <cell r="Z369">
            <v>0</v>
          </cell>
        </row>
        <row r="370">
          <cell r="D370">
            <v>41975</v>
          </cell>
          <cell r="U370">
            <v>3</v>
          </cell>
          <cell r="Z370">
            <v>0</v>
          </cell>
        </row>
        <row r="371">
          <cell r="D371">
            <v>41975</v>
          </cell>
          <cell r="U371">
            <v>1</v>
          </cell>
          <cell r="Z371">
            <v>0</v>
          </cell>
        </row>
        <row r="372">
          <cell r="D372">
            <v>41975</v>
          </cell>
          <cell r="U372">
            <v>1</v>
          </cell>
          <cell r="Z372">
            <v>0</v>
          </cell>
        </row>
        <row r="373">
          <cell r="D373">
            <v>41975</v>
          </cell>
          <cell r="U373">
            <v>0</v>
          </cell>
          <cell r="Z373">
            <v>1</v>
          </cell>
        </row>
        <row r="374">
          <cell r="D374">
            <v>41975</v>
          </cell>
          <cell r="U374">
            <v>0</v>
          </cell>
          <cell r="Z374">
            <v>1</v>
          </cell>
        </row>
        <row r="375">
          <cell r="D375">
            <v>41975</v>
          </cell>
          <cell r="U375">
            <v>1</v>
          </cell>
          <cell r="Z375">
            <v>0</v>
          </cell>
        </row>
        <row r="376">
          <cell r="D376">
            <v>41975</v>
          </cell>
          <cell r="U376">
            <v>0</v>
          </cell>
          <cell r="Z376">
            <v>1</v>
          </cell>
        </row>
        <row r="377">
          <cell r="D377">
            <v>41975</v>
          </cell>
          <cell r="U377">
            <v>0</v>
          </cell>
          <cell r="Z377">
            <v>1</v>
          </cell>
        </row>
        <row r="378">
          <cell r="D378">
            <v>41975</v>
          </cell>
          <cell r="U378">
            <v>1</v>
          </cell>
          <cell r="Z378">
            <v>0</v>
          </cell>
        </row>
        <row r="379">
          <cell r="D379">
            <v>41975</v>
          </cell>
          <cell r="U379">
            <v>2</v>
          </cell>
          <cell r="Z379">
            <v>0</v>
          </cell>
        </row>
        <row r="380">
          <cell r="D380">
            <v>41975</v>
          </cell>
          <cell r="U380">
            <v>0</v>
          </cell>
          <cell r="Z380">
            <v>1</v>
          </cell>
        </row>
        <row r="381">
          <cell r="D381">
            <v>41975</v>
          </cell>
          <cell r="U381">
            <v>0</v>
          </cell>
          <cell r="Z381">
            <v>1</v>
          </cell>
        </row>
        <row r="382">
          <cell r="D382">
            <v>41975</v>
          </cell>
          <cell r="U382">
            <v>0</v>
          </cell>
          <cell r="Z382">
            <v>1</v>
          </cell>
        </row>
        <row r="383">
          <cell r="D383">
            <v>41975</v>
          </cell>
          <cell r="U383">
            <v>0</v>
          </cell>
          <cell r="Z383">
            <v>1</v>
          </cell>
        </row>
        <row r="384">
          <cell r="D384">
            <v>41975</v>
          </cell>
          <cell r="U384">
            <v>0</v>
          </cell>
          <cell r="Z384">
            <v>1</v>
          </cell>
        </row>
        <row r="385">
          <cell r="D385">
            <v>41975</v>
          </cell>
          <cell r="U385">
            <v>0</v>
          </cell>
          <cell r="Z385">
            <v>1</v>
          </cell>
        </row>
        <row r="386">
          <cell r="D386">
            <v>41975</v>
          </cell>
          <cell r="U386">
            <v>0</v>
          </cell>
          <cell r="Z386">
            <v>1</v>
          </cell>
        </row>
        <row r="387">
          <cell r="D387">
            <v>41975</v>
          </cell>
          <cell r="U387">
            <v>3</v>
          </cell>
          <cell r="Z387">
            <v>0</v>
          </cell>
        </row>
        <row r="388">
          <cell r="D388">
            <v>41975</v>
          </cell>
          <cell r="U388">
            <v>1</v>
          </cell>
          <cell r="Z388">
            <v>0</v>
          </cell>
        </row>
        <row r="389">
          <cell r="D389">
            <v>41975</v>
          </cell>
          <cell r="U389">
            <v>1</v>
          </cell>
          <cell r="Z389">
            <v>0</v>
          </cell>
        </row>
        <row r="390">
          <cell r="D390">
            <v>41975</v>
          </cell>
          <cell r="U390">
            <v>2</v>
          </cell>
          <cell r="Z390">
            <v>0</v>
          </cell>
        </row>
        <row r="391">
          <cell r="D391">
            <v>41975</v>
          </cell>
          <cell r="U391">
            <v>2</v>
          </cell>
          <cell r="Z391">
            <v>0</v>
          </cell>
        </row>
        <row r="392">
          <cell r="D392">
            <v>41976</v>
          </cell>
          <cell r="U392">
            <v>2</v>
          </cell>
          <cell r="Z392">
            <v>0</v>
          </cell>
        </row>
        <row r="393">
          <cell r="D393">
            <v>41976</v>
          </cell>
          <cell r="U393">
            <v>1</v>
          </cell>
          <cell r="Z393">
            <v>0</v>
          </cell>
        </row>
        <row r="394">
          <cell r="D394">
            <v>41976</v>
          </cell>
          <cell r="U394">
            <v>3</v>
          </cell>
          <cell r="Z394">
            <v>0</v>
          </cell>
        </row>
        <row r="395">
          <cell r="D395">
            <v>41976</v>
          </cell>
          <cell r="U395">
            <v>3</v>
          </cell>
          <cell r="Z395">
            <v>0</v>
          </cell>
        </row>
        <row r="396">
          <cell r="D396">
            <v>41976</v>
          </cell>
          <cell r="U396">
            <v>3</v>
          </cell>
          <cell r="Z396">
            <v>0</v>
          </cell>
        </row>
        <row r="397">
          <cell r="D397">
            <v>41976</v>
          </cell>
          <cell r="U397">
            <v>3</v>
          </cell>
          <cell r="Z397">
            <v>0</v>
          </cell>
        </row>
        <row r="398">
          <cell r="D398">
            <v>41976</v>
          </cell>
          <cell r="U398">
            <v>1</v>
          </cell>
          <cell r="Z398">
            <v>0</v>
          </cell>
        </row>
        <row r="399">
          <cell r="D399">
            <v>41976</v>
          </cell>
          <cell r="U399">
            <v>1</v>
          </cell>
          <cell r="Z399">
            <v>0</v>
          </cell>
        </row>
        <row r="400">
          <cell r="D400">
            <v>41976</v>
          </cell>
          <cell r="U400">
            <v>2</v>
          </cell>
          <cell r="Z400">
            <v>0</v>
          </cell>
        </row>
        <row r="401">
          <cell r="D401">
            <v>41976</v>
          </cell>
          <cell r="U401">
            <v>3</v>
          </cell>
          <cell r="Z401">
            <v>0</v>
          </cell>
        </row>
        <row r="402">
          <cell r="D402">
            <v>41976</v>
          </cell>
          <cell r="U402">
            <v>3</v>
          </cell>
          <cell r="Z402">
            <v>0</v>
          </cell>
        </row>
        <row r="403">
          <cell r="D403">
            <v>41976</v>
          </cell>
          <cell r="U403">
            <v>3</v>
          </cell>
          <cell r="Z403">
            <v>0</v>
          </cell>
        </row>
        <row r="404">
          <cell r="D404">
            <v>41976</v>
          </cell>
          <cell r="U404">
            <v>1</v>
          </cell>
          <cell r="Z404">
            <v>0</v>
          </cell>
        </row>
        <row r="405">
          <cell r="D405">
            <v>41976</v>
          </cell>
          <cell r="U405">
            <v>1</v>
          </cell>
          <cell r="Z405">
            <v>0</v>
          </cell>
        </row>
        <row r="406">
          <cell r="D406">
            <v>41976</v>
          </cell>
          <cell r="U406">
            <v>0</v>
          </cell>
          <cell r="Z406">
            <v>1</v>
          </cell>
        </row>
        <row r="407">
          <cell r="D407">
            <v>41976</v>
          </cell>
          <cell r="U407">
            <v>0</v>
          </cell>
          <cell r="Z407">
            <v>1</v>
          </cell>
        </row>
        <row r="408">
          <cell r="D408">
            <v>41976</v>
          </cell>
          <cell r="U408">
            <v>0</v>
          </cell>
          <cell r="Z408">
            <v>1</v>
          </cell>
        </row>
        <row r="409">
          <cell r="D409">
            <v>41976</v>
          </cell>
          <cell r="U409">
            <v>0</v>
          </cell>
          <cell r="Z409">
            <v>1</v>
          </cell>
        </row>
        <row r="410">
          <cell r="D410">
            <v>41976</v>
          </cell>
          <cell r="U410">
            <v>0</v>
          </cell>
          <cell r="Z410">
            <v>1</v>
          </cell>
        </row>
        <row r="411">
          <cell r="D411">
            <v>41976</v>
          </cell>
          <cell r="U411">
            <v>0</v>
          </cell>
          <cell r="Z411">
            <v>1</v>
          </cell>
        </row>
        <row r="412">
          <cell r="D412">
            <v>41976</v>
          </cell>
          <cell r="U412">
            <v>0</v>
          </cell>
          <cell r="Z412">
            <v>1</v>
          </cell>
        </row>
        <row r="413">
          <cell r="D413">
            <v>41976</v>
          </cell>
          <cell r="U413">
            <v>0</v>
          </cell>
          <cell r="Z413">
            <v>1</v>
          </cell>
        </row>
        <row r="414">
          <cell r="D414">
            <v>41976</v>
          </cell>
          <cell r="U414">
            <v>0</v>
          </cell>
          <cell r="Z414">
            <v>1</v>
          </cell>
        </row>
        <row r="415">
          <cell r="D415">
            <v>41976</v>
          </cell>
          <cell r="U415">
            <v>0</v>
          </cell>
          <cell r="Z415">
            <v>1</v>
          </cell>
        </row>
        <row r="416">
          <cell r="D416">
            <v>41976</v>
          </cell>
          <cell r="U416">
            <v>0</v>
          </cell>
          <cell r="Z416">
            <v>1</v>
          </cell>
        </row>
        <row r="417">
          <cell r="D417">
            <v>41976</v>
          </cell>
          <cell r="U417">
            <v>0</v>
          </cell>
          <cell r="Z417">
            <v>1</v>
          </cell>
        </row>
        <row r="418">
          <cell r="D418">
            <v>41976</v>
          </cell>
          <cell r="U418">
            <v>0</v>
          </cell>
          <cell r="Z418">
            <v>1</v>
          </cell>
        </row>
        <row r="419">
          <cell r="D419">
            <v>41976</v>
          </cell>
          <cell r="U419">
            <v>0</v>
          </cell>
          <cell r="Z419">
            <v>1</v>
          </cell>
        </row>
        <row r="420">
          <cell r="D420">
            <v>41976</v>
          </cell>
          <cell r="U420">
            <v>0</v>
          </cell>
          <cell r="Z420">
            <v>1</v>
          </cell>
        </row>
        <row r="421">
          <cell r="D421">
            <v>41976</v>
          </cell>
          <cell r="U421">
            <v>0</v>
          </cell>
          <cell r="Z421">
            <v>1</v>
          </cell>
        </row>
        <row r="422">
          <cell r="D422">
            <v>41976</v>
          </cell>
          <cell r="U422">
            <v>0</v>
          </cell>
          <cell r="Z422">
            <v>1</v>
          </cell>
        </row>
        <row r="423">
          <cell r="D423">
            <v>41976</v>
          </cell>
          <cell r="U423">
            <v>0</v>
          </cell>
          <cell r="Z423">
            <v>1</v>
          </cell>
        </row>
        <row r="424">
          <cell r="D424">
            <v>41976</v>
          </cell>
          <cell r="U424">
            <v>0</v>
          </cell>
          <cell r="Z424">
            <v>1</v>
          </cell>
        </row>
        <row r="425">
          <cell r="D425">
            <v>41976</v>
          </cell>
          <cell r="U425">
            <v>0</v>
          </cell>
          <cell r="Z425">
            <v>1</v>
          </cell>
        </row>
        <row r="426">
          <cell r="D426">
            <v>41976</v>
          </cell>
          <cell r="U426">
            <v>0</v>
          </cell>
          <cell r="Z426">
            <v>1</v>
          </cell>
        </row>
        <row r="427">
          <cell r="D427">
            <v>41976</v>
          </cell>
          <cell r="U427">
            <v>0</v>
          </cell>
          <cell r="Z427">
            <v>1</v>
          </cell>
        </row>
        <row r="428">
          <cell r="D428">
            <v>41976</v>
          </cell>
          <cell r="U428">
            <v>0</v>
          </cell>
          <cell r="Z428">
            <v>1</v>
          </cell>
        </row>
        <row r="429">
          <cell r="D429">
            <v>41976</v>
          </cell>
          <cell r="U429">
            <v>0</v>
          </cell>
          <cell r="Z429">
            <v>1</v>
          </cell>
        </row>
        <row r="430">
          <cell r="D430">
            <v>41976</v>
          </cell>
          <cell r="U430">
            <v>0</v>
          </cell>
          <cell r="Z430">
            <v>1</v>
          </cell>
        </row>
        <row r="431">
          <cell r="D431">
            <v>41976</v>
          </cell>
          <cell r="U431">
            <v>2</v>
          </cell>
          <cell r="Z431">
            <v>0</v>
          </cell>
        </row>
        <row r="432">
          <cell r="D432">
            <v>41976</v>
          </cell>
          <cell r="U432">
            <v>0</v>
          </cell>
          <cell r="Z432">
            <v>1</v>
          </cell>
        </row>
        <row r="433">
          <cell r="D433">
            <v>41976</v>
          </cell>
          <cell r="U433">
            <v>0</v>
          </cell>
          <cell r="Z433">
            <v>1</v>
          </cell>
        </row>
        <row r="434">
          <cell r="D434">
            <v>41976</v>
          </cell>
          <cell r="U434">
            <v>3</v>
          </cell>
          <cell r="Z434">
            <v>0</v>
          </cell>
        </row>
        <row r="435">
          <cell r="D435">
            <v>41976</v>
          </cell>
          <cell r="U435">
            <v>0</v>
          </cell>
          <cell r="Z435">
            <v>1</v>
          </cell>
        </row>
        <row r="436">
          <cell r="D436">
            <v>41976</v>
          </cell>
          <cell r="U436">
            <v>0</v>
          </cell>
          <cell r="Z436">
            <v>1</v>
          </cell>
        </row>
        <row r="437">
          <cell r="D437">
            <v>41976</v>
          </cell>
          <cell r="U437">
            <v>0</v>
          </cell>
          <cell r="Z437">
            <v>1</v>
          </cell>
        </row>
        <row r="438">
          <cell r="D438">
            <v>41976</v>
          </cell>
          <cell r="U438">
            <v>0</v>
          </cell>
          <cell r="Z438">
            <v>1</v>
          </cell>
        </row>
        <row r="439">
          <cell r="D439">
            <v>41976</v>
          </cell>
          <cell r="U439">
            <v>0</v>
          </cell>
          <cell r="Z439">
            <v>1</v>
          </cell>
        </row>
        <row r="440">
          <cell r="D440">
            <v>41976</v>
          </cell>
          <cell r="U440">
            <v>0</v>
          </cell>
          <cell r="Z440">
            <v>1</v>
          </cell>
        </row>
        <row r="441">
          <cell r="D441">
            <v>41976</v>
          </cell>
          <cell r="U441">
            <v>0</v>
          </cell>
          <cell r="Z441">
            <v>1</v>
          </cell>
        </row>
        <row r="442">
          <cell r="D442">
            <v>41976</v>
          </cell>
          <cell r="U442">
            <v>0</v>
          </cell>
          <cell r="Z442">
            <v>1</v>
          </cell>
        </row>
        <row r="443">
          <cell r="D443">
            <v>41976</v>
          </cell>
          <cell r="U443">
            <v>0</v>
          </cell>
          <cell r="Z443">
            <v>1</v>
          </cell>
        </row>
        <row r="444">
          <cell r="D444">
            <v>41976</v>
          </cell>
          <cell r="U444">
            <v>0</v>
          </cell>
          <cell r="Z444">
            <v>1</v>
          </cell>
        </row>
        <row r="445">
          <cell r="D445">
            <v>41976</v>
          </cell>
          <cell r="U445">
            <v>0</v>
          </cell>
          <cell r="Z445">
            <v>1</v>
          </cell>
        </row>
        <row r="446">
          <cell r="D446">
            <v>41976</v>
          </cell>
          <cell r="U446">
            <v>3</v>
          </cell>
          <cell r="Z446">
            <v>0</v>
          </cell>
        </row>
        <row r="447">
          <cell r="D447">
            <v>41976</v>
          </cell>
          <cell r="U447">
            <v>2</v>
          </cell>
          <cell r="Z447">
            <v>0</v>
          </cell>
        </row>
        <row r="448">
          <cell r="D448">
            <v>41976</v>
          </cell>
          <cell r="U448">
            <v>2</v>
          </cell>
          <cell r="Z448">
            <v>0</v>
          </cell>
        </row>
        <row r="449">
          <cell r="D449">
            <v>41976</v>
          </cell>
          <cell r="U449">
            <v>0</v>
          </cell>
          <cell r="Z449">
            <v>1</v>
          </cell>
        </row>
        <row r="450">
          <cell r="D450">
            <v>41976</v>
          </cell>
          <cell r="U450">
            <v>0</v>
          </cell>
          <cell r="Z450">
            <v>1</v>
          </cell>
        </row>
        <row r="451">
          <cell r="D451">
            <v>41976</v>
          </cell>
          <cell r="U451">
            <v>0</v>
          </cell>
          <cell r="Z451">
            <v>1</v>
          </cell>
        </row>
        <row r="452">
          <cell r="D452">
            <v>41976</v>
          </cell>
          <cell r="U452">
            <v>0</v>
          </cell>
          <cell r="Z452">
            <v>1</v>
          </cell>
        </row>
        <row r="453">
          <cell r="D453">
            <v>41976</v>
          </cell>
          <cell r="U453">
            <v>0</v>
          </cell>
          <cell r="Z453">
            <v>1</v>
          </cell>
        </row>
        <row r="454">
          <cell r="D454">
            <v>41976</v>
          </cell>
          <cell r="U454">
            <v>0</v>
          </cell>
          <cell r="Z454">
            <v>1</v>
          </cell>
        </row>
        <row r="455">
          <cell r="D455">
            <v>41976</v>
          </cell>
          <cell r="U455">
            <v>3</v>
          </cell>
          <cell r="Z455">
            <v>0</v>
          </cell>
        </row>
        <row r="456">
          <cell r="D456">
            <v>41976</v>
          </cell>
          <cell r="U456">
            <v>0</v>
          </cell>
          <cell r="Z456">
            <v>1</v>
          </cell>
        </row>
        <row r="457">
          <cell r="D457">
            <v>41976</v>
          </cell>
          <cell r="U457">
            <v>3</v>
          </cell>
          <cell r="Z457">
            <v>0</v>
          </cell>
        </row>
        <row r="458">
          <cell r="D458">
            <v>41976</v>
          </cell>
          <cell r="U458">
            <v>1</v>
          </cell>
          <cell r="Z458">
            <v>0</v>
          </cell>
        </row>
        <row r="459">
          <cell r="D459">
            <v>41976</v>
          </cell>
          <cell r="U459">
            <v>0</v>
          </cell>
          <cell r="Z459">
            <v>1</v>
          </cell>
        </row>
        <row r="460">
          <cell r="D460">
            <v>41976</v>
          </cell>
          <cell r="U460">
            <v>0</v>
          </cell>
          <cell r="Z460">
            <v>1</v>
          </cell>
        </row>
        <row r="461">
          <cell r="D461">
            <v>41976</v>
          </cell>
          <cell r="U461">
            <v>0</v>
          </cell>
          <cell r="Z461">
            <v>1</v>
          </cell>
        </row>
        <row r="462">
          <cell r="D462">
            <v>41976</v>
          </cell>
          <cell r="U462">
            <v>0</v>
          </cell>
          <cell r="Z462">
            <v>1</v>
          </cell>
        </row>
        <row r="463">
          <cell r="D463">
            <v>41976</v>
          </cell>
          <cell r="U463">
            <v>0</v>
          </cell>
          <cell r="Z463">
            <v>1</v>
          </cell>
        </row>
        <row r="464">
          <cell r="D464">
            <v>41976</v>
          </cell>
          <cell r="U464">
            <v>0</v>
          </cell>
          <cell r="Z464">
            <v>1</v>
          </cell>
        </row>
        <row r="465">
          <cell r="D465">
            <v>41976</v>
          </cell>
          <cell r="U465">
            <v>0</v>
          </cell>
          <cell r="Z465">
            <v>1</v>
          </cell>
        </row>
        <row r="466">
          <cell r="D466">
            <v>41976</v>
          </cell>
          <cell r="U466">
            <v>1</v>
          </cell>
          <cell r="Z466">
            <v>0</v>
          </cell>
        </row>
        <row r="467">
          <cell r="D467">
            <v>41976</v>
          </cell>
          <cell r="U467">
            <v>0</v>
          </cell>
          <cell r="Z467">
            <v>1</v>
          </cell>
        </row>
        <row r="468">
          <cell r="D468">
            <v>41976</v>
          </cell>
          <cell r="U468">
            <v>0</v>
          </cell>
          <cell r="Z468">
            <v>1</v>
          </cell>
        </row>
        <row r="469">
          <cell r="D469">
            <v>41976</v>
          </cell>
          <cell r="U469">
            <v>0</v>
          </cell>
          <cell r="Z469">
            <v>1</v>
          </cell>
        </row>
        <row r="470">
          <cell r="D470">
            <v>41976</v>
          </cell>
          <cell r="U470">
            <v>0</v>
          </cell>
          <cell r="Z470">
            <v>1</v>
          </cell>
        </row>
        <row r="471">
          <cell r="D471">
            <v>41976</v>
          </cell>
          <cell r="U471">
            <v>2</v>
          </cell>
          <cell r="Z471">
            <v>0</v>
          </cell>
        </row>
        <row r="472">
          <cell r="D472">
            <v>41976</v>
          </cell>
          <cell r="U472">
            <v>0</v>
          </cell>
          <cell r="Z472">
            <v>1</v>
          </cell>
        </row>
        <row r="473">
          <cell r="D473">
            <v>41976</v>
          </cell>
          <cell r="U473">
            <v>3</v>
          </cell>
          <cell r="Z473">
            <v>0</v>
          </cell>
        </row>
        <row r="474">
          <cell r="D474">
            <v>41976</v>
          </cell>
          <cell r="U474">
            <v>0</v>
          </cell>
          <cell r="Z474">
            <v>1</v>
          </cell>
        </row>
        <row r="475">
          <cell r="D475">
            <v>41976</v>
          </cell>
          <cell r="U475">
            <v>0</v>
          </cell>
          <cell r="Z475">
            <v>1</v>
          </cell>
        </row>
        <row r="476">
          <cell r="D476">
            <v>41976</v>
          </cell>
          <cell r="U476">
            <v>0</v>
          </cell>
          <cell r="Z476">
            <v>1</v>
          </cell>
        </row>
        <row r="477">
          <cell r="D477">
            <v>41976</v>
          </cell>
          <cell r="U477">
            <v>1</v>
          </cell>
          <cell r="Z477">
            <v>0</v>
          </cell>
        </row>
        <row r="478">
          <cell r="D478">
            <v>41976</v>
          </cell>
          <cell r="U478">
            <v>0</v>
          </cell>
          <cell r="Z478">
            <v>1</v>
          </cell>
        </row>
        <row r="479">
          <cell r="D479">
            <v>41976</v>
          </cell>
          <cell r="U479">
            <v>0</v>
          </cell>
          <cell r="Z479">
            <v>1</v>
          </cell>
        </row>
        <row r="480">
          <cell r="D480">
            <v>41976</v>
          </cell>
          <cell r="U480">
            <v>2</v>
          </cell>
          <cell r="Z480">
            <v>0</v>
          </cell>
        </row>
        <row r="481">
          <cell r="D481">
            <v>41976</v>
          </cell>
          <cell r="U481">
            <v>2</v>
          </cell>
          <cell r="Z481">
            <v>0</v>
          </cell>
        </row>
        <row r="482">
          <cell r="D482">
            <v>41976</v>
          </cell>
          <cell r="U482">
            <v>0</v>
          </cell>
          <cell r="Z482">
            <v>1</v>
          </cell>
        </row>
        <row r="483">
          <cell r="D483">
            <v>41976</v>
          </cell>
          <cell r="U483">
            <v>1</v>
          </cell>
          <cell r="Z483">
            <v>0</v>
          </cell>
        </row>
        <row r="484">
          <cell r="D484">
            <v>41976</v>
          </cell>
          <cell r="U484">
            <v>3</v>
          </cell>
          <cell r="Z484">
            <v>0</v>
          </cell>
        </row>
        <row r="485">
          <cell r="D485">
            <v>41976</v>
          </cell>
          <cell r="U485">
            <v>0</v>
          </cell>
          <cell r="Z485">
            <v>1</v>
          </cell>
        </row>
        <row r="486">
          <cell r="D486">
            <v>41976</v>
          </cell>
          <cell r="U486">
            <v>0</v>
          </cell>
          <cell r="Z486">
            <v>1</v>
          </cell>
        </row>
        <row r="487">
          <cell r="D487">
            <v>41976</v>
          </cell>
          <cell r="U487">
            <v>0</v>
          </cell>
          <cell r="Z487">
            <v>1</v>
          </cell>
        </row>
        <row r="488">
          <cell r="D488">
            <v>41976</v>
          </cell>
          <cell r="U488">
            <v>0</v>
          </cell>
          <cell r="Z488">
            <v>1</v>
          </cell>
        </row>
        <row r="489">
          <cell r="D489">
            <v>41976</v>
          </cell>
          <cell r="U489">
            <v>0</v>
          </cell>
          <cell r="Z489">
            <v>1</v>
          </cell>
        </row>
        <row r="490">
          <cell r="D490">
            <v>41976</v>
          </cell>
          <cell r="U490">
            <v>0</v>
          </cell>
          <cell r="Z490">
            <v>1</v>
          </cell>
        </row>
        <row r="491">
          <cell r="D491">
            <v>41976</v>
          </cell>
          <cell r="U491">
            <v>2</v>
          </cell>
          <cell r="Z491">
            <v>0</v>
          </cell>
        </row>
        <row r="492">
          <cell r="D492">
            <v>41976</v>
          </cell>
          <cell r="U492">
            <v>0</v>
          </cell>
          <cell r="Z492">
            <v>1</v>
          </cell>
        </row>
        <row r="493">
          <cell r="D493">
            <v>41976</v>
          </cell>
          <cell r="U493">
            <v>0</v>
          </cell>
          <cell r="Z493">
            <v>1</v>
          </cell>
        </row>
        <row r="494">
          <cell r="D494">
            <v>41976</v>
          </cell>
          <cell r="U494">
            <v>0</v>
          </cell>
          <cell r="Z494">
            <v>1</v>
          </cell>
        </row>
        <row r="495">
          <cell r="D495">
            <v>41976</v>
          </cell>
          <cell r="U495">
            <v>0</v>
          </cell>
          <cell r="Z495">
            <v>1</v>
          </cell>
        </row>
        <row r="496">
          <cell r="D496">
            <v>41976</v>
          </cell>
          <cell r="U496">
            <v>0</v>
          </cell>
          <cell r="Z496">
            <v>1</v>
          </cell>
        </row>
        <row r="497">
          <cell r="D497">
            <v>41976</v>
          </cell>
          <cell r="U497">
            <v>0</v>
          </cell>
          <cell r="Z497">
            <v>1</v>
          </cell>
        </row>
        <row r="498">
          <cell r="D498">
            <v>41976</v>
          </cell>
          <cell r="U498">
            <v>0</v>
          </cell>
          <cell r="Z498">
            <v>1</v>
          </cell>
        </row>
        <row r="499">
          <cell r="D499">
            <v>41976</v>
          </cell>
          <cell r="U499">
            <v>2</v>
          </cell>
          <cell r="Z499">
            <v>0</v>
          </cell>
        </row>
        <row r="500">
          <cell r="D500">
            <v>41976</v>
          </cell>
          <cell r="U500">
            <v>0</v>
          </cell>
          <cell r="Z500">
            <v>1</v>
          </cell>
        </row>
        <row r="501">
          <cell r="D501">
            <v>41976</v>
          </cell>
          <cell r="U501">
            <v>2</v>
          </cell>
          <cell r="Z501">
            <v>0</v>
          </cell>
        </row>
        <row r="502">
          <cell r="D502">
            <v>41976</v>
          </cell>
          <cell r="U502">
            <v>0</v>
          </cell>
          <cell r="Z502">
            <v>1</v>
          </cell>
        </row>
        <row r="503">
          <cell r="D503">
            <v>41976</v>
          </cell>
          <cell r="U503">
            <v>1</v>
          </cell>
          <cell r="Z503">
            <v>0</v>
          </cell>
        </row>
        <row r="504">
          <cell r="D504">
            <v>41976</v>
          </cell>
          <cell r="U504">
            <v>0</v>
          </cell>
          <cell r="Z504">
            <v>1</v>
          </cell>
        </row>
        <row r="505">
          <cell r="D505">
            <v>41976</v>
          </cell>
          <cell r="U505">
            <v>0</v>
          </cell>
          <cell r="Z505">
            <v>1</v>
          </cell>
        </row>
        <row r="506">
          <cell r="D506">
            <v>41976</v>
          </cell>
          <cell r="U506">
            <v>2</v>
          </cell>
          <cell r="Z506">
            <v>0</v>
          </cell>
        </row>
        <row r="507">
          <cell r="D507">
            <v>41976</v>
          </cell>
          <cell r="U507">
            <v>3</v>
          </cell>
          <cell r="Z507">
            <v>0</v>
          </cell>
        </row>
        <row r="508">
          <cell r="D508">
            <v>41976</v>
          </cell>
          <cell r="U508">
            <v>0</v>
          </cell>
          <cell r="Z508">
            <v>1</v>
          </cell>
        </row>
        <row r="509">
          <cell r="D509">
            <v>41976</v>
          </cell>
          <cell r="U509">
            <v>0</v>
          </cell>
          <cell r="Z509">
            <v>1</v>
          </cell>
        </row>
        <row r="510">
          <cell r="D510">
            <v>41976</v>
          </cell>
          <cell r="U510">
            <v>0</v>
          </cell>
          <cell r="Z510">
            <v>1</v>
          </cell>
        </row>
        <row r="511">
          <cell r="D511">
            <v>41976</v>
          </cell>
          <cell r="U511">
            <v>0</v>
          </cell>
          <cell r="Z511">
            <v>1</v>
          </cell>
        </row>
        <row r="512">
          <cell r="D512">
            <v>41976</v>
          </cell>
          <cell r="U512">
            <v>3</v>
          </cell>
          <cell r="Z512">
            <v>0</v>
          </cell>
        </row>
        <row r="513">
          <cell r="D513">
            <v>41976</v>
          </cell>
          <cell r="U513">
            <v>0</v>
          </cell>
          <cell r="Z513">
            <v>1</v>
          </cell>
        </row>
        <row r="514">
          <cell r="D514">
            <v>41976</v>
          </cell>
          <cell r="U514">
            <v>1</v>
          </cell>
          <cell r="Z514">
            <v>0</v>
          </cell>
        </row>
        <row r="515">
          <cell r="D515">
            <v>41976</v>
          </cell>
          <cell r="U515">
            <v>0</v>
          </cell>
          <cell r="Z515">
            <v>1</v>
          </cell>
        </row>
        <row r="516">
          <cell r="D516">
            <v>41976</v>
          </cell>
          <cell r="U516">
            <v>0</v>
          </cell>
          <cell r="Z516">
            <v>1</v>
          </cell>
        </row>
        <row r="517">
          <cell r="D517">
            <v>41976</v>
          </cell>
          <cell r="U517">
            <v>0</v>
          </cell>
          <cell r="Z517">
            <v>1</v>
          </cell>
        </row>
        <row r="518">
          <cell r="D518">
            <v>41976</v>
          </cell>
          <cell r="U518">
            <v>3</v>
          </cell>
          <cell r="Z518">
            <v>0</v>
          </cell>
        </row>
        <row r="519">
          <cell r="D519">
            <v>41976</v>
          </cell>
          <cell r="U519">
            <v>3</v>
          </cell>
          <cell r="Z519">
            <v>0</v>
          </cell>
        </row>
        <row r="520">
          <cell r="D520">
            <v>41976</v>
          </cell>
          <cell r="U520">
            <v>0</v>
          </cell>
          <cell r="Z520">
            <v>1</v>
          </cell>
        </row>
        <row r="521">
          <cell r="D521">
            <v>41976</v>
          </cell>
          <cell r="U521">
            <v>0</v>
          </cell>
          <cell r="Z521">
            <v>1</v>
          </cell>
        </row>
        <row r="522">
          <cell r="D522">
            <v>41976</v>
          </cell>
          <cell r="U522">
            <v>0</v>
          </cell>
          <cell r="Z522">
            <v>1</v>
          </cell>
        </row>
        <row r="523">
          <cell r="D523">
            <v>41976</v>
          </cell>
          <cell r="U523">
            <v>0</v>
          </cell>
          <cell r="Z523">
            <v>1</v>
          </cell>
        </row>
        <row r="524">
          <cell r="D524">
            <v>41976</v>
          </cell>
          <cell r="U524">
            <v>1</v>
          </cell>
          <cell r="Z524">
            <v>0</v>
          </cell>
        </row>
        <row r="525">
          <cell r="D525">
            <v>41976</v>
          </cell>
          <cell r="U525">
            <v>0</v>
          </cell>
          <cell r="Z525">
            <v>1</v>
          </cell>
        </row>
        <row r="526">
          <cell r="D526">
            <v>41976</v>
          </cell>
          <cell r="U526">
            <v>2</v>
          </cell>
          <cell r="Z526">
            <v>0</v>
          </cell>
        </row>
        <row r="527">
          <cell r="D527">
            <v>41976</v>
          </cell>
          <cell r="U527">
            <v>2</v>
          </cell>
          <cell r="Z527">
            <v>0</v>
          </cell>
        </row>
        <row r="528">
          <cell r="D528">
            <v>41976</v>
          </cell>
          <cell r="U528">
            <v>2</v>
          </cell>
          <cell r="Z528">
            <v>0</v>
          </cell>
        </row>
        <row r="529">
          <cell r="D529">
            <v>41977</v>
          </cell>
          <cell r="U529">
            <v>2</v>
          </cell>
          <cell r="Z529">
            <v>0</v>
          </cell>
        </row>
        <row r="530">
          <cell r="D530">
            <v>41977</v>
          </cell>
          <cell r="U530">
            <v>0</v>
          </cell>
          <cell r="Z530">
            <v>1</v>
          </cell>
        </row>
        <row r="531">
          <cell r="D531">
            <v>41977</v>
          </cell>
          <cell r="U531">
            <v>0</v>
          </cell>
          <cell r="Z531">
            <v>1</v>
          </cell>
        </row>
        <row r="532">
          <cell r="D532">
            <v>41977</v>
          </cell>
          <cell r="U532">
            <v>0</v>
          </cell>
          <cell r="Z532">
            <v>1</v>
          </cell>
        </row>
        <row r="533">
          <cell r="D533">
            <v>41977</v>
          </cell>
          <cell r="U533">
            <v>0</v>
          </cell>
          <cell r="Z533">
            <v>1</v>
          </cell>
        </row>
        <row r="534">
          <cell r="D534">
            <v>41977</v>
          </cell>
          <cell r="U534">
            <v>0</v>
          </cell>
          <cell r="Z534">
            <v>1</v>
          </cell>
        </row>
        <row r="535">
          <cell r="D535">
            <v>41977</v>
          </cell>
          <cell r="U535">
            <v>1</v>
          </cell>
          <cell r="Z535">
            <v>0</v>
          </cell>
        </row>
        <row r="536">
          <cell r="D536">
            <v>41977</v>
          </cell>
          <cell r="U536">
            <v>2</v>
          </cell>
          <cell r="Z536">
            <v>0</v>
          </cell>
        </row>
        <row r="537">
          <cell r="D537">
            <v>41977</v>
          </cell>
          <cell r="U537">
            <v>2</v>
          </cell>
          <cell r="Z537">
            <v>0</v>
          </cell>
        </row>
        <row r="538">
          <cell r="D538">
            <v>41977</v>
          </cell>
          <cell r="U538">
            <v>0</v>
          </cell>
          <cell r="Z538">
            <v>1</v>
          </cell>
        </row>
        <row r="539">
          <cell r="D539">
            <v>41977</v>
          </cell>
          <cell r="U539">
            <v>0</v>
          </cell>
          <cell r="Z539">
            <v>1</v>
          </cell>
        </row>
        <row r="540">
          <cell r="D540">
            <v>41977</v>
          </cell>
          <cell r="U540">
            <v>0</v>
          </cell>
          <cell r="Z540">
            <v>1</v>
          </cell>
        </row>
        <row r="541">
          <cell r="D541">
            <v>41977</v>
          </cell>
          <cell r="U541">
            <v>0</v>
          </cell>
          <cell r="Z541">
            <v>1</v>
          </cell>
        </row>
        <row r="542">
          <cell r="D542">
            <v>41977</v>
          </cell>
          <cell r="U542">
            <v>0</v>
          </cell>
          <cell r="Z542">
            <v>1</v>
          </cell>
        </row>
        <row r="543">
          <cell r="D543">
            <v>41977</v>
          </cell>
          <cell r="U543">
            <v>2</v>
          </cell>
          <cell r="Z543">
            <v>0</v>
          </cell>
        </row>
        <row r="544">
          <cell r="D544">
            <v>41977</v>
          </cell>
          <cell r="U544">
            <v>0</v>
          </cell>
          <cell r="Z544">
            <v>1</v>
          </cell>
        </row>
        <row r="545">
          <cell r="D545">
            <v>41977</v>
          </cell>
          <cell r="U545">
            <v>0</v>
          </cell>
          <cell r="Z545">
            <v>1</v>
          </cell>
        </row>
        <row r="546">
          <cell r="D546">
            <v>41977</v>
          </cell>
          <cell r="U546">
            <v>0</v>
          </cell>
          <cell r="Z546">
            <v>1</v>
          </cell>
        </row>
        <row r="547">
          <cell r="D547">
            <v>41977</v>
          </cell>
          <cell r="U547">
            <v>0</v>
          </cell>
          <cell r="Z547">
            <v>1</v>
          </cell>
        </row>
        <row r="548">
          <cell r="D548">
            <v>41977</v>
          </cell>
          <cell r="U548">
            <v>0</v>
          </cell>
          <cell r="Z548">
            <v>1</v>
          </cell>
        </row>
        <row r="549">
          <cell r="D549">
            <v>41977</v>
          </cell>
          <cell r="U549">
            <v>0</v>
          </cell>
          <cell r="Z549">
            <v>1</v>
          </cell>
        </row>
        <row r="550">
          <cell r="D550">
            <v>41977</v>
          </cell>
          <cell r="U550">
            <v>0</v>
          </cell>
          <cell r="Z550">
            <v>1</v>
          </cell>
        </row>
        <row r="551">
          <cell r="D551">
            <v>41977</v>
          </cell>
          <cell r="U551">
            <v>0</v>
          </cell>
          <cell r="Z551">
            <v>1</v>
          </cell>
        </row>
        <row r="552">
          <cell r="D552">
            <v>41977</v>
          </cell>
          <cell r="U552">
            <v>0</v>
          </cell>
          <cell r="Z552">
            <v>1</v>
          </cell>
        </row>
        <row r="553">
          <cell r="D553">
            <v>41977</v>
          </cell>
          <cell r="U553">
            <v>0</v>
          </cell>
          <cell r="Z553">
            <v>1</v>
          </cell>
        </row>
        <row r="554">
          <cell r="D554">
            <v>41977</v>
          </cell>
          <cell r="U554">
            <v>0</v>
          </cell>
          <cell r="Z554">
            <v>1</v>
          </cell>
        </row>
        <row r="555">
          <cell r="D555">
            <v>41977</v>
          </cell>
          <cell r="U555">
            <v>0</v>
          </cell>
          <cell r="Z555">
            <v>1</v>
          </cell>
        </row>
        <row r="556">
          <cell r="D556">
            <v>41977</v>
          </cell>
          <cell r="U556">
            <v>0</v>
          </cell>
          <cell r="Z556">
            <v>1</v>
          </cell>
        </row>
        <row r="557">
          <cell r="D557">
            <v>41977</v>
          </cell>
          <cell r="U557">
            <v>0</v>
          </cell>
          <cell r="Z557">
            <v>1</v>
          </cell>
        </row>
        <row r="558">
          <cell r="D558">
            <v>41977</v>
          </cell>
          <cell r="U558">
            <v>0</v>
          </cell>
          <cell r="Z558">
            <v>1</v>
          </cell>
        </row>
        <row r="559">
          <cell r="D559">
            <v>41977</v>
          </cell>
          <cell r="U559">
            <v>3</v>
          </cell>
          <cell r="Z559">
            <v>0</v>
          </cell>
        </row>
        <row r="560">
          <cell r="D560">
            <v>41977</v>
          </cell>
          <cell r="U560">
            <v>0</v>
          </cell>
          <cell r="Z560">
            <v>1</v>
          </cell>
        </row>
        <row r="561">
          <cell r="D561">
            <v>41977</v>
          </cell>
          <cell r="U561">
            <v>1</v>
          </cell>
          <cell r="Z561">
            <v>0</v>
          </cell>
        </row>
        <row r="562">
          <cell r="D562">
            <v>41977</v>
          </cell>
          <cell r="U562">
            <v>0</v>
          </cell>
          <cell r="Z562">
            <v>1</v>
          </cell>
        </row>
        <row r="563">
          <cell r="D563">
            <v>41977</v>
          </cell>
          <cell r="U563">
            <v>2</v>
          </cell>
          <cell r="Z563">
            <v>0</v>
          </cell>
        </row>
        <row r="564">
          <cell r="D564">
            <v>41977</v>
          </cell>
          <cell r="U564">
            <v>0</v>
          </cell>
          <cell r="Z564">
            <v>1</v>
          </cell>
        </row>
        <row r="565">
          <cell r="D565">
            <v>41977</v>
          </cell>
          <cell r="U565">
            <v>0</v>
          </cell>
          <cell r="Z565">
            <v>1</v>
          </cell>
        </row>
        <row r="566">
          <cell r="D566">
            <v>41977</v>
          </cell>
          <cell r="U566">
            <v>1</v>
          </cell>
          <cell r="Z566">
            <v>0</v>
          </cell>
        </row>
        <row r="567">
          <cell r="D567">
            <v>41977</v>
          </cell>
          <cell r="U567">
            <v>2</v>
          </cell>
          <cell r="Z567">
            <v>0</v>
          </cell>
        </row>
        <row r="568">
          <cell r="D568">
            <v>41977</v>
          </cell>
          <cell r="U568">
            <v>0</v>
          </cell>
          <cell r="Z568">
            <v>1</v>
          </cell>
        </row>
        <row r="569">
          <cell r="D569">
            <v>41977</v>
          </cell>
          <cell r="U569">
            <v>0</v>
          </cell>
          <cell r="Z569">
            <v>1</v>
          </cell>
        </row>
        <row r="570">
          <cell r="D570">
            <v>41977</v>
          </cell>
          <cell r="U570">
            <v>0</v>
          </cell>
          <cell r="Z570">
            <v>1</v>
          </cell>
        </row>
        <row r="571">
          <cell r="D571">
            <v>41977</v>
          </cell>
          <cell r="U571">
            <v>0</v>
          </cell>
          <cell r="Z571">
            <v>1</v>
          </cell>
        </row>
        <row r="572">
          <cell r="D572">
            <v>41977</v>
          </cell>
          <cell r="U572">
            <v>0</v>
          </cell>
          <cell r="Z572">
            <v>1</v>
          </cell>
        </row>
        <row r="573">
          <cell r="D573">
            <v>41977</v>
          </cell>
          <cell r="U573">
            <v>0</v>
          </cell>
          <cell r="Z573">
            <v>1</v>
          </cell>
        </row>
        <row r="574">
          <cell r="D574">
            <v>41977</v>
          </cell>
          <cell r="U574">
            <v>2</v>
          </cell>
          <cell r="Z574">
            <v>0</v>
          </cell>
        </row>
        <row r="575">
          <cell r="D575">
            <v>41977</v>
          </cell>
          <cell r="U575">
            <v>0</v>
          </cell>
          <cell r="Z575">
            <v>1</v>
          </cell>
        </row>
        <row r="576">
          <cell r="D576">
            <v>41977</v>
          </cell>
          <cell r="U576">
            <v>0</v>
          </cell>
          <cell r="Z576">
            <v>1</v>
          </cell>
        </row>
        <row r="577">
          <cell r="D577">
            <v>41977</v>
          </cell>
          <cell r="U577">
            <v>3</v>
          </cell>
          <cell r="Z577">
            <v>0</v>
          </cell>
        </row>
        <row r="578">
          <cell r="D578">
            <v>41977</v>
          </cell>
          <cell r="U578">
            <v>0</v>
          </cell>
          <cell r="Z578">
            <v>1</v>
          </cell>
        </row>
        <row r="579">
          <cell r="D579">
            <v>41977</v>
          </cell>
          <cell r="U579">
            <v>3</v>
          </cell>
          <cell r="Z579">
            <v>0</v>
          </cell>
        </row>
        <row r="580">
          <cell r="D580">
            <v>41977</v>
          </cell>
          <cell r="U580">
            <v>0</v>
          </cell>
          <cell r="Z580">
            <v>1</v>
          </cell>
        </row>
        <row r="581">
          <cell r="D581">
            <v>41977</v>
          </cell>
          <cell r="U581">
            <v>0</v>
          </cell>
          <cell r="Z581">
            <v>1</v>
          </cell>
        </row>
        <row r="582">
          <cell r="D582">
            <v>41977</v>
          </cell>
          <cell r="U582">
            <v>2</v>
          </cell>
          <cell r="Z582">
            <v>0</v>
          </cell>
        </row>
        <row r="583">
          <cell r="D583">
            <v>41977</v>
          </cell>
          <cell r="U583">
            <v>0</v>
          </cell>
          <cell r="Z583">
            <v>1</v>
          </cell>
        </row>
        <row r="584">
          <cell r="D584">
            <v>41977</v>
          </cell>
          <cell r="U584">
            <v>0</v>
          </cell>
          <cell r="Z584">
            <v>1</v>
          </cell>
        </row>
        <row r="585">
          <cell r="D585">
            <v>41977</v>
          </cell>
          <cell r="U585">
            <v>0</v>
          </cell>
          <cell r="Z585">
            <v>1</v>
          </cell>
        </row>
        <row r="586">
          <cell r="D586">
            <v>41977</v>
          </cell>
          <cell r="U586">
            <v>0</v>
          </cell>
          <cell r="Z586">
            <v>1</v>
          </cell>
        </row>
        <row r="587">
          <cell r="D587">
            <v>41977</v>
          </cell>
          <cell r="U587">
            <v>0</v>
          </cell>
          <cell r="Z587">
            <v>1</v>
          </cell>
        </row>
        <row r="588">
          <cell r="D588">
            <v>41977</v>
          </cell>
          <cell r="U588">
            <v>0</v>
          </cell>
          <cell r="Z588">
            <v>1</v>
          </cell>
        </row>
        <row r="589">
          <cell r="D589">
            <v>41977</v>
          </cell>
          <cell r="U589">
            <v>0</v>
          </cell>
          <cell r="Z589">
            <v>1</v>
          </cell>
        </row>
        <row r="590">
          <cell r="D590">
            <v>41977</v>
          </cell>
          <cell r="U590">
            <v>0</v>
          </cell>
          <cell r="Z590">
            <v>1</v>
          </cell>
        </row>
        <row r="591">
          <cell r="D591">
            <v>41977</v>
          </cell>
          <cell r="U591">
            <v>0</v>
          </cell>
          <cell r="Z591">
            <v>1</v>
          </cell>
        </row>
        <row r="592">
          <cell r="D592">
            <v>41977</v>
          </cell>
          <cell r="U592">
            <v>0</v>
          </cell>
          <cell r="Z592">
            <v>1</v>
          </cell>
        </row>
        <row r="593">
          <cell r="D593">
            <v>41977</v>
          </cell>
          <cell r="U593">
            <v>1</v>
          </cell>
          <cell r="Z593">
            <v>0</v>
          </cell>
        </row>
        <row r="594">
          <cell r="D594">
            <v>41977</v>
          </cell>
          <cell r="U594">
            <v>0</v>
          </cell>
          <cell r="Z594">
            <v>1</v>
          </cell>
        </row>
        <row r="595">
          <cell r="D595">
            <v>41977</v>
          </cell>
          <cell r="U595">
            <v>0</v>
          </cell>
          <cell r="Z595">
            <v>1</v>
          </cell>
        </row>
        <row r="596">
          <cell r="D596">
            <v>41977</v>
          </cell>
          <cell r="U596">
            <v>0</v>
          </cell>
          <cell r="Z596">
            <v>1</v>
          </cell>
        </row>
        <row r="597">
          <cell r="D597">
            <v>41977</v>
          </cell>
          <cell r="U597">
            <v>0</v>
          </cell>
          <cell r="Z597">
            <v>1</v>
          </cell>
        </row>
        <row r="598">
          <cell r="D598">
            <v>41977</v>
          </cell>
          <cell r="U598">
            <v>3</v>
          </cell>
          <cell r="Z598">
            <v>0</v>
          </cell>
        </row>
        <row r="599">
          <cell r="D599">
            <v>41977</v>
          </cell>
          <cell r="U599">
            <v>1</v>
          </cell>
          <cell r="Z599">
            <v>0</v>
          </cell>
        </row>
        <row r="600">
          <cell r="D600">
            <v>41977</v>
          </cell>
          <cell r="U600">
            <v>0</v>
          </cell>
          <cell r="Z600">
            <v>1</v>
          </cell>
        </row>
        <row r="601">
          <cell r="D601">
            <v>41977</v>
          </cell>
          <cell r="U601">
            <v>0</v>
          </cell>
          <cell r="Z601">
            <v>1</v>
          </cell>
        </row>
        <row r="602">
          <cell r="D602">
            <v>41977</v>
          </cell>
          <cell r="U602">
            <v>0</v>
          </cell>
          <cell r="Z602">
            <v>1</v>
          </cell>
        </row>
        <row r="603">
          <cell r="D603">
            <v>41977</v>
          </cell>
          <cell r="U603">
            <v>2</v>
          </cell>
          <cell r="Z603">
            <v>0</v>
          </cell>
        </row>
        <row r="604">
          <cell r="D604">
            <v>41977</v>
          </cell>
          <cell r="U604">
            <v>0</v>
          </cell>
          <cell r="Z604">
            <v>1</v>
          </cell>
        </row>
        <row r="605">
          <cell r="D605">
            <v>41977</v>
          </cell>
          <cell r="U605">
            <v>0</v>
          </cell>
          <cell r="Z605">
            <v>1</v>
          </cell>
        </row>
        <row r="606">
          <cell r="D606">
            <v>41977</v>
          </cell>
          <cell r="U606">
            <v>2</v>
          </cell>
          <cell r="Z606">
            <v>0</v>
          </cell>
        </row>
        <row r="607">
          <cell r="D607">
            <v>41977</v>
          </cell>
          <cell r="U607">
            <v>1</v>
          </cell>
          <cell r="Z607">
            <v>0</v>
          </cell>
        </row>
        <row r="608">
          <cell r="D608">
            <v>41977</v>
          </cell>
          <cell r="U608">
            <v>2</v>
          </cell>
          <cell r="Z608">
            <v>0</v>
          </cell>
        </row>
        <row r="609">
          <cell r="D609">
            <v>41977</v>
          </cell>
          <cell r="U609">
            <v>0</v>
          </cell>
          <cell r="Z609">
            <v>1</v>
          </cell>
        </row>
        <row r="610">
          <cell r="D610">
            <v>41977</v>
          </cell>
          <cell r="U610">
            <v>1</v>
          </cell>
          <cell r="Z610">
            <v>0</v>
          </cell>
        </row>
        <row r="611">
          <cell r="D611">
            <v>41977</v>
          </cell>
          <cell r="U611">
            <v>1</v>
          </cell>
          <cell r="Z611">
            <v>0</v>
          </cell>
        </row>
        <row r="612">
          <cell r="D612">
            <v>41977</v>
          </cell>
          <cell r="U612">
            <v>0</v>
          </cell>
          <cell r="Z612">
            <v>1</v>
          </cell>
        </row>
        <row r="613">
          <cell r="D613">
            <v>41977</v>
          </cell>
          <cell r="U613">
            <v>2</v>
          </cell>
          <cell r="Z613">
            <v>0</v>
          </cell>
        </row>
        <row r="614">
          <cell r="D614">
            <v>41977</v>
          </cell>
          <cell r="U614">
            <v>1</v>
          </cell>
          <cell r="Z614">
            <v>0</v>
          </cell>
        </row>
        <row r="615">
          <cell r="D615">
            <v>41977</v>
          </cell>
          <cell r="U615">
            <v>2</v>
          </cell>
          <cell r="Z615">
            <v>0</v>
          </cell>
        </row>
        <row r="616">
          <cell r="D616">
            <v>41977</v>
          </cell>
          <cell r="U616">
            <v>0</v>
          </cell>
          <cell r="Z616">
            <v>1</v>
          </cell>
        </row>
        <row r="617">
          <cell r="D617">
            <v>41977</v>
          </cell>
          <cell r="U617">
            <v>0</v>
          </cell>
          <cell r="Z617">
            <v>1</v>
          </cell>
        </row>
        <row r="618">
          <cell r="D618">
            <v>41977</v>
          </cell>
          <cell r="U618">
            <v>2</v>
          </cell>
          <cell r="Z618">
            <v>0</v>
          </cell>
        </row>
        <row r="619">
          <cell r="D619">
            <v>41977</v>
          </cell>
          <cell r="U619">
            <v>0</v>
          </cell>
          <cell r="Z619">
            <v>1</v>
          </cell>
        </row>
        <row r="620">
          <cell r="D620">
            <v>41977</v>
          </cell>
          <cell r="U620">
            <v>0</v>
          </cell>
          <cell r="Z620">
            <v>1</v>
          </cell>
        </row>
        <row r="621">
          <cell r="D621">
            <v>41977</v>
          </cell>
          <cell r="U621">
            <v>0</v>
          </cell>
          <cell r="Z621">
            <v>1</v>
          </cell>
        </row>
        <row r="622">
          <cell r="D622">
            <v>41977</v>
          </cell>
          <cell r="U622">
            <v>0</v>
          </cell>
          <cell r="Z622">
            <v>1</v>
          </cell>
        </row>
        <row r="623">
          <cell r="D623">
            <v>41977</v>
          </cell>
          <cell r="U623">
            <v>2</v>
          </cell>
          <cell r="Z623">
            <v>0</v>
          </cell>
        </row>
        <row r="624">
          <cell r="D624">
            <v>41977</v>
          </cell>
          <cell r="U624">
            <v>1</v>
          </cell>
          <cell r="Z624">
            <v>0</v>
          </cell>
        </row>
        <row r="625">
          <cell r="D625">
            <v>41977</v>
          </cell>
          <cell r="U625">
            <v>3</v>
          </cell>
          <cell r="Z625">
            <v>0</v>
          </cell>
        </row>
        <row r="626">
          <cell r="D626">
            <v>41977</v>
          </cell>
          <cell r="U626">
            <v>3</v>
          </cell>
          <cell r="Z626">
            <v>0</v>
          </cell>
        </row>
        <row r="627">
          <cell r="D627">
            <v>41977</v>
          </cell>
          <cell r="U627">
            <v>1</v>
          </cell>
          <cell r="Z627">
            <v>0</v>
          </cell>
        </row>
        <row r="628">
          <cell r="D628">
            <v>41977</v>
          </cell>
          <cell r="U628">
            <v>2</v>
          </cell>
          <cell r="Z628">
            <v>0</v>
          </cell>
        </row>
        <row r="629">
          <cell r="D629">
            <v>41977</v>
          </cell>
          <cell r="U629">
            <v>1</v>
          </cell>
          <cell r="Z629">
            <v>0</v>
          </cell>
        </row>
        <row r="630">
          <cell r="D630">
            <v>41977</v>
          </cell>
          <cell r="U630">
            <v>2</v>
          </cell>
          <cell r="Z630">
            <v>0</v>
          </cell>
        </row>
        <row r="631">
          <cell r="D631">
            <v>41977</v>
          </cell>
          <cell r="U631">
            <v>0</v>
          </cell>
          <cell r="Z631">
            <v>1</v>
          </cell>
        </row>
        <row r="632">
          <cell r="D632">
            <v>41977</v>
          </cell>
          <cell r="U632">
            <v>0</v>
          </cell>
          <cell r="Z632">
            <v>1</v>
          </cell>
        </row>
        <row r="633">
          <cell r="D633">
            <v>41977</v>
          </cell>
          <cell r="U633">
            <v>1</v>
          </cell>
          <cell r="Z633">
            <v>0</v>
          </cell>
        </row>
        <row r="634">
          <cell r="D634">
            <v>41977</v>
          </cell>
          <cell r="U634">
            <v>0</v>
          </cell>
          <cell r="Z634">
            <v>1</v>
          </cell>
        </row>
        <row r="635">
          <cell r="D635">
            <v>41977</v>
          </cell>
          <cell r="U635">
            <v>0</v>
          </cell>
          <cell r="Z635">
            <v>1</v>
          </cell>
        </row>
        <row r="636">
          <cell r="D636">
            <v>41977</v>
          </cell>
          <cell r="U636">
            <v>0</v>
          </cell>
          <cell r="Z636">
            <v>1</v>
          </cell>
        </row>
        <row r="637">
          <cell r="D637">
            <v>41977</v>
          </cell>
          <cell r="U637">
            <v>0</v>
          </cell>
          <cell r="Z637">
            <v>1</v>
          </cell>
        </row>
        <row r="638">
          <cell r="D638">
            <v>41977</v>
          </cell>
          <cell r="U638">
            <v>0</v>
          </cell>
          <cell r="Z638">
            <v>1</v>
          </cell>
        </row>
        <row r="639">
          <cell r="D639">
            <v>41977</v>
          </cell>
          <cell r="U639">
            <v>3</v>
          </cell>
          <cell r="Z639">
            <v>0</v>
          </cell>
        </row>
        <row r="640">
          <cell r="D640">
            <v>41977</v>
          </cell>
          <cell r="U640">
            <v>0</v>
          </cell>
          <cell r="Z640">
            <v>1</v>
          </cell>
        </row>
        <row r="641">
          <cell r="D641">
            <v>41977</v>
          </cell>
          <cell r="U641">
            <v>1</v>
          </cell>
          <cell r="Z641">
            <v>0</v>
          </cell>
        </row>
        <row r="642">
          <cell r="D642">
            <v>41977</v>
          </cell>
          <cell r="U642">
            <v>1</v>
          </cell>
          <cell r="Z642">
            <v>0</v>
          </cell>
        </row>
        <row r="643">
          <cell r="D643">
            <v>41977</v>
          </cell>
          <cell r="U643">
            <v>0</v>
          </cell>
          <cell r="Z643">
            <v>1</v>
          </cell>
        </row>
        <row r="644">
          <cell r="D644">
            <v>41977</v>
          </cell>
          <cell r="U644">
            <v>0</v>
          </cell>
          <cell r="Z644">
            <v>1</v>
          </cell>
        </row>
        <row r="645">
          <cell r="D645">
            <v>41977</v>
          </cell>
          <cell r="U645">
            <v>0</v>
          </cell>
          <cell r="Z645">
            <v>1</v>
          </cell>
        </row>
        <row r="646">
          <cell r="D646">
            <v>41977</v>
          </cell>
          <cell r="U646">
            <v>0</v>
          </cell>
          <cell r="Z646">
            <v>1</v>
          </cell>
        </row>
        <row r="647">
          <cell r="D647">
            <v>41977</v>
          </cell>
          <cell r="U647">
            <v>3</v>
          </cell>
          <cell r="Z647">
            <v>0</v>
          </cell>
        </row>
        <row r="648">
          <cell r="D648">
            <v>41977</v>
          </cell>
          <cell r="U648">
            <v>0</v>
          </cell>
          <cell r="Z648">
            <v>1</v>
          </cell>
        </row>
        <row r="649">
          <cell r="D649">
            <v>41977</v>
          </cell>
          <cell r="U649">
            <v>0</v>
          </cell>
          <cell r="Z649">
            <v>1</v>
          </cell>
        </row>
        <row r="650">
          <cell r="D650">
            <v>41977</v>
          </cell>
          <cell r="U650">
            <v>3</v>
          </cell>
          <cell r="Z650">
            <v>0</v>
          </cell>
        </row>
        <row r="651">
          <cell r="D651">
            <v>41977</v>
          </cell>
          <cell r="U651">
            <v>0</v>
          </cell>
          <cell r="Z651">
            <v>1</v>
          </cell>
        </row>
        <row r="652">
          <cell r="D652">
            <v>41977</v>
          </cell>
          <cell r="U652">
            <v>0</v>
          </cell>
          <cell r="Z652">
            <v>1</v>
          </cell>
        </row>
        <row r="653">
          <cell r="D653">
            <v>41977</v>
          </cell>
          <cell r="U653">
            <v>0</v>
          </cell>
          <cell r="Z653">
            <v>1</v>
          </cell>
        </row>
        <row r="654">
          <cell r="D654">
            <v>41977</v>
          </cell>
          <cell r="U654">
            <v>0</v>
          </cell>
          <cell r="Z654">
            <v>1</v>
          </cell>
        </row>
        <row r="655">
          <cell r="D655">
            <v>41977</v>
          </cell>
          <cell r="U655">
            <v>0</v>
          </cell>
          <cell r="Z655">
            <v>1</v>
          </cell>
        </row>
        <row r="656">
          <cell r="D656">
            <v>41977</v>
          </cell>
          <cell r="U656">
            <v>1</v>
          </cell>
          <cell r="Z656">
            <v>0</v>
          </cell>
        </row>
        <row r="657">
          <cell r="D657">
            <v>41977</v>
          </cell>
          <cell r="U657">
            <v>0</v>
          </cell>
          <cell r="Z657">
            <v>1</v>
          </cell>
        </row>
        <row r="658">
          <cell r="D658">
            <v>41977</v>
          </cell>
          <cell r="U658">
            <v>1</v>
          </cell>
          <cell r="Z658">
            <v>0</v>
          </cell>
        </row>
        <row r="659">
          <cell r="D659">
            <v>41977</v>
          </cell>
          <cell r="U659">
            <v>0</v>
          </cell>
          <cell r="Z659">
            <v>1</v>
          </cell>
        </row>
        <row r="660">
          <cell r="D660">
            <v>41977</v>
          </cell>
          <cell r="U660">
            <v>3</v>
          </cell>
          <cell r="Z660">
            <v>0</v>
          </cell>
        </row>
        <row r="661">
          <cell r="D661">
            <v>41977</v>
          </cell>
          <cell r="U661">
            <v>1</v>
          </cell>
          <cell r="Z661">
            <v>0</v>
          </cell>
        </row>
        <row r="662">
          <cell r="D662">
            <v>41977</v>
          </cell>
          <cell r="U662">
            <v>0</v>
          </cell>
          <cell r="Z662">
            <v>1</v>
          </cell>
        </row>
        <row r="663">
          <cell r="D663">
            <v>41977</v>
          </cell>
          <cell r="U663">
            <v>3</v>
          </cell>
          <cell r="Z663">
            <v>0</v>
          </cell>
        </row>
        <row r="664">
          <cell r="D664">
            <v>41977</v>
          </cell>
          <cell r="U664">
            <v>0</v>
          </cell>
          <cell r="Z664">
            <v>1</v>
          </cell>
        </row>
        <row r="665">
          <cell r="D665">
            <v>41977</v>
          </cell>
          <cell r="U665">
            <v>1</v>
          </cell>
          <cell r="Z665">
            <v>0</v>
          </cell>
        </row>
        <row r="666">
          <cell r="D666">
            <v>41977</v>
          </cell>
          <cell r="U666">
            <v>0</v>
          </cell>
          <cell r="Z666">
            <v>1</v>
          </cell>
        </row>
        <row r="667">
          <cell r="D667">
            <v>41977</v>
          </cell>
          <cell r="U667">
            <v>0</v>
          </cell>
          <cell r="Z667">
            <v>1</v>
          </cell>
        </row>
        <row r="668">
          <cell r="D668">
            <v>41977</v>
          </cell>
          <cell r="U668">
            <v>1</v>
          </cell>
          <cell r="Z668">
            <v>0</v>
          </cell>
        </row>
        <row r="669">
          <cell r="D669">
            <v>41977</v>
          </cell>
          <cell r="U669">
            <v>0</v>
          </cell>
          <cell r="Z669">
            <v>1</v>
          </cell>
        </row>
        <row r="670">
          <cell r="D670">
            <v>41977</v>
          </cell>
          <cell r="U670">
            <v>0</v>
          </cell>
          <cell r="Z670">
            <v>1</v>
          </cell>
        </row>
        <row r="671">
          <cell r="D671">
            <v>41977</v>
          </cell>
          <cell r="U671">
            <v>0</v>
          </cell>
          <cell r="Z671">
            <v>1</v>
          </cell>
        </row>
        <row r="672">
          <cell r="D672">
            <v>41977</v>
          </cell>
          <cell r="U672">
            <v>0</v>
          </cell>
          <cell r="Z672">
            <v>1</v>
          </cell>
        </row>
        <row r="673">
          <cell r="D673">
            <v>41977</v>
          </cell>
          <cell r="U673">
            <v>0</v>
          </cell>
          <cell r="Z673">
            <v>1</v>
          </cell>
        </row>
        <row r="674">
          <cell r="D674">
            <v>41977</v>
          </cell>
          <cell r="U674">
            <v>0</v>
          </cell>
          <cell r="Z674">
            <v>1</v>
          </cell>
        </row>
        <row r="675">
          <cell r="D675">
            <v>41977</v>
          </cell>
          <cell r="U675">
            <v>0</v>
          </cell>
          <cell r="Z675">
            <v>1</v>
          </cell>
        </row>
        <row r="676">
          <cell r="D676">
            <v>41977</v>
          </cell>
          <cell r="U676">
            <v>0</v>
          </cell>
          <cell r="Z676">
            <v>1</v>
          </cell>
        </row>
        <row r="677">
          <cell r="D677">
            <v>41977</v>
          </cell>
          <cell r="U677">
            <v>0</v>
          </cell>
          <cell r="Z677">
            <v>1</v>
          </cell>
        </row>
        <row r="678">
          <cell r="D678">
            <v>41977</v>
          </cell>
          <cell r="U678">
            <v>0</v>
          </cell>
          <cell r="Z678">
            <v>1</v>
          </cell>
        </row>
        <row r="679">
          <cell r="D679">
            <v>41977</v>
          </cell>
          <cell r="U679">
            <v>0</v>
          </cell>
          <cell r="Z679">
            <v>1</v>
          </cell>
        </row>
        <row r="680">
          <cell r="D680">
            <v>41977</v>
          </cell>
          <cell r="U680">
            <v>1</v>
          </cell>
          <cell r="Z680">
            <v>0</v>
          </cell>
        </row>
        <row r="681">
          <cell r="D681">
            <v>41977</v>
          </cell>
          <cell r="U681">
            <v>0</v>
          </cell>
          <cell r="Z681">
            <v>1</v>
          </cell>
        </row>
        <row r="682">
          <cell r="D682">
            <v>41977</v>
          </cell>
          <cell r="U682">
            <v>0</v>
          </cell>
          <cell r="Z682">
            <v>1</v>
          </cell>
        </row>
        <row r="683">
          <cell r="D683">
            <v>41977</v>
          </cell>
          <cell r="U683">
            <v>0</v>
          </cell>
          <cell r="Z683">
            <v>1</v>
          </cell>
        </row>
        <row r="684">
          <cell r="D684">
            <v>41977</v>
          </cell>
          <cell r="U684">
            <v>0</v>
          </cell>
          <cell r="Z684">
            <v>1</v>
          </cell>
        </row>
        <row r="685">
          <cell r="D685">
            <v>41977</v>
          </cell>
          <cell r="U685">
            <v>0</v>
          </cell>
          <cell r="Z685">
            <v>1</v>
          </cell>
        </row>
        <row r="686">
          <cell r="D686">
            <v>41977</v>
          </cell>
          <cell r="U686">
            <v>0</v>
          </cell>
          <cell r="Z686">
            <v>1</v>
          </cell>
        </row>
        <row r="687">
          <cell r="D687">
            <v>41977</v>
          </cell>
          <cell r="U687">
            <v>0</v>
          </cell>
          <cell r="Z687">
            <v>1</v>
          </cell>
        </row>
        <row r="688">
          <cell r="D688">
            <v>41977</v>
          </cell>
          <cell r="U688">
            <v>2</v>
          </cell>
          <cell r="Z688">
            <v>0</v>
          </cell>
        </row>
        <row r="689">
          <cell r="D689">
            <v>41977</v>
          </cell>
          <cell r="U689">
            <v>0</v>
          </cell>
          <cell r="Z689">
            <v>1</v>
          </cell>
        </row>
        <row r="690">
          <cell r="D690">
            <v>41977</v>
          </cell>
          <cell r="U690">
            <v>0</v>
          </cell>
          <cell r="Z690">
            <v>1</v>
          </cell>
        </row>
        <row r="691">
          <cell r="D691">
            <v>41977</v>
          </cell>
          <cell r="U691">
            <v>3</v>
          </cell>
          <cell r="Z691">
            <v>0</v>
          </cell>
        </row>
        <row r="692">
          <cell r="D692">
            <v>41977</v>
          </cell>
          <cell r="U692">
            <v>0</v>
          </cell>
          <cell r="Z692">
            <v>1</v>
          </cell>
        </row>
        <row r="693">
          <cell r="D693">
            <v>41977</v>
          </cell>
          <cell r="U693">
            <v>0</v>
          </cell>
          <cell r="Z693">
            <v>1</v>
          </cell>
        </row>
        <row r="694">
          <cell r="D694">
            <v>41977</v>
          </cell>
          <cell r="U694">
            <v>0</v>
          </cell>
          <cell r="Z694">
            <v>1</v>
          </cell>
        </row>
        <row r="695">
          <cell r="D695">
            <v>41977</v>
          </cell>
          <cell r="U695">
            <v>1</v>
          </cell>
          <cell r="Z695">
            <v>0</v>
          </cell>
        </row>
        <row r="696">
          <cell r="D696">
            <v>41977</v>
          </cell>
          <cell r="U696">
            <v>0</v>
          </cell>
          <cell r="Z696">
            <v>1</v>
          </cell>
        </row>
        <row r="697">
          <cell r="D697">
            <v>41977</v>
          </cell>
          <cell r="U697">
            <v>0</v>
          </cell>
          <cell r="Z697">
            <v>1</v>
          </cell>
        </row>
        <row r="698">
          <cell r="D698">
            <v>41977</v>
          </cell>
          <cell r="U698">
            <v>0</v>
          </cell>
          <cell r="Z698">
            <v>1</v>
          </cell>
        </row>
        <row r="699">
          <cell r="D699">
            <v>41977</v>
          </cell>
          <cell r="U699">
            <v>0</v>
          </cell>
          <cell r="Z699">
            <v>1</v>
          </cell>
        </row>
        <row r="700">
          <cell r="D700">
            <v>41977</v>
          </cell>
          <cell r="U700">
            <v>0</v>
          </cell>
          <cell r="Z700">
            <v>1</v>
          </cell>
        </row>
        <row r="701">
          <cell r="D701">
            <v>41977</v>
          </cell>
          <cell r="U701">
            <v>3</v>
          </cell>
          <cell r="Z701">
            <v>0</v>
          </cell>
        </row>
        <row r="702">
          <cell r="D702">
            <v>41977</v>
          </cell>
          <cell r="U702">
            <v>0</v>
          </cell>
          <cell r="Z702">
            <v>1</v>
          </cell>
        </row>
        <row r="703">
          <cell r="D703">
            <v>41977</v>
          </cell>
          <cell r="U703">
            <v>0</v>
          </cell>
          <cell r="Z703">
            <v>1</v>
          </cell>
        </row>
        <row r="704">
          <cell r="D704">
            <v>41977</v>
          </cell>
          <cell r="U704">
            <v>0</v>
          </cell>
          <cell r="Z704">
            <v>1</v>
          </cell>
        </row>
        <row r="705">
          <cell r="D705">
            <v>41977</v>
          </cell>
          <cell r="U705">
            <v>0</v>
          </cell>
          <cell r="Z705">
            <v>1</v>
          </cell>
        </row>
        <row r="706">
          <cell r="D706">
            <v>41977</v>
          </cell>
          <cell r="U706">
            <v>0</v>
          </cell>
          <cell r="Z706">
            <v>1</v>
          </cell>
        </row>
        <row r="707">
          <cell r="D707">
            <v>41977</v>
          </cell>
          <cell r="U707">
            <v>0</v>
          </cell>
          <cell r="Z707">
            <v>1</v>
          </cell>
        </row>
        <row r="708">
          <cell r="D708">
            <v>41977</v>
          </cell>
          <cell r="U708">
            <v>0</v>
          </cell>
          <cell r="Z708">
            <v>1</v>
          </cell>
        </row>
        <row r="709">
          <cell r="D709">
            <v>41977</v>
          </cell>
          <cell r="U709">
            <v>0</v>
          </cell>
          <cell r="Z709">
            <v>1</v>
          </cell>
        </row>
        <row r="710">
          <cell r="D710">
            <v>41977</v>
          </cell>
          <cell r="U710">
            <v>2</v>
          </cell>
          <cell r="Z710">
            <v>0</v>
          </cell>
        </row>
        <row r="711">
          <cell r="D711">
            <v>41977</v>
          </cell>
          <cell r="U711">
            <v>0</v>
          </cell>
          <cell r="Z711">
            <v>1</v>
          </cell>
        </row>
        <row r="712">
          <cell r="D712">
            <v>41977</v>
          </cell>
          <cell r="U712">
            <v>2</v>
          </cell>
          <cell r="Z712">
            <v>0</v>
          </cell>
        </row>
        <row r="713">
          <cell r="D713">
            <v>41977</v>
          </cell>
          <cell r="U713">
            <v>1</v>
          </cell>
          <cell r="Z713">
            <v>0</v>
          </cell>
        </row>
        <row r="714">
          <cell r="D714">
            <v>41977</v>
          </cell>
          <cell r="U714">
            <v>1</v>
          </cell>
          <cell r="Z714">
            <v>0</v>
          </cell>
        </row>
        <row r="715">
          <cell r="D715">
            <v>41977</v>
          </cell>
          <cell r="U715">
            <v>0</v>
          </cell>
          <cell r="Z715">
            <v>3</v>
          </cell>
        </row>
        <row r="716">
          <cell r="D716">
            <v>41977</v>
          </cell>
          <cell r="U716">
            <v>0</v>
          </cell>
          <cell r="Z716">
            <v>1</v>
          </cell>
        </row>
        <row r="717">
          <cell r="D717">
            <v>41977</v>
          </cell>
          <cell r="U717">
            <v>2</v>
          </cell>
          <cell r="Z717">
            <v>0</v>
          </cell>
        </row>
        <row r="718">
          <cell r="D718">
            <v>41977</v>
          </cell>
          <cell r="U718">
            <v>2</v>
          </cell>
          <cell r="Z718">
            <v>0</v>
          </cell>
        </row>
        <row r="719">
          <cell r="D719">
            <v>41977</v>
          </cell>
          <cell r="U719">
            <v>2</v>
          </cell>
          <cell r="Z719">
            <v>0</v>
          </cell>
        </row>
        <row r="720">
          <cell r="D720">
            <v>41977</v>
          </cell>
          <cell r="U720">
            <v>0</v>
          </cell>
          <cell r="Z720">
            <v>1</v>
          </cell>
        </row>
        <row r="721">
          <cell r="D721">
            <v>41977</v>
          </cell>
          <cell r="U721">
            <v>0</v>
          </cell>
          <cell r="Z721">
            <v>1</v>
          </cell>
        </row>
        <row r="722">
          <cell r="D722">
            <v>41977</v>
          </cell>
          <cell r="U722">
            <v>0</v>
          </cell>
          <cell r="Z722">
            <v>1</v>
          </cell>
        </row>
        <row r="723">
          <cell r="D723">
            <v>41977</v>
          </cell>
          <cell r="U723">
            <v>0</v>
          </cell>
          <cell r="Z723">
            <v>1</v>
          </cell>
        </row>
        <row r="724">
          <cell r="D724">
            <v>41977</v>
          </cell>
          <cell r="U724">
            <v>0</v>
          </cell>
          <cell r="Z724">
            <v>1</v>
          </cell>
        </row>
        <row r="725">
          <cell r="D725">
            <v>41977</v>
          </cell>
          <cell r="U725">
            <v>2</v>
          </cell>
          <cell r="Z725">
            <v>0</v>
          </cell>
        </row>
        <row r="726">
          <cell r="D726">
            <v>41978</v>
          </cell>
          <cell r="U726">
            <v>0</v>
          </cell>
          <cell r="Z726">
            <v>1</v>
          </cell>
        </row>
        <row r="727">
          <cell r="D727">
            <v>41978</v>
          </cell>
          <cell r="U727">
            <v>3</v>
          </cell>
          <cell r="Z727">
            <v>0</v>
          </cell>
        </row>
        <row r="728">
          <cell r="D728">
            <v>41978</v>
          </cell>
          <cell r="U728">
            <v>3</v>
          </cell>
          <cell r="Z728">
            <v>0</v>
          </cell>
        </row>
        <row r="729">
          <cell r="D729">
            <v>41978</v>
          </cell>
          <cell r="U729">
            <v>0</v>
          </cell>
          <cell r="Z729">
            <v>1</v>
          </cell>
        </row>
        <row r="730">
          <cell r="D730">
            <v>41978</v>
          </cell>
          <cell r="U730">
            <v>0</v>
          </cell>
          <cell r="Z730">
            <v>1</v>
          </cell>
        </row>
        <row r="731">
          <cell r="D731">
            <v>41978</v>
          </cell>
          <cell r="U731">
            <v>0</v>
          </cell>
          <cell r="Z731">
            <v>1</v>
          </cell>
        </row>
        <row r="732">
          <cell r="D732">
            <v>41978</v>
          </cell>
          <cell r="U732">
            <v>0</v>
          </cell>
          <cell r="Z732">
            <v>1</v>
          </cell>
        </row>
        <row r="733">
          <cell r="D733">
            <v>41978</v>
          </cell>
          <cell r="U733">
            <v>0</v>
          </cell>
          <cell r="Z733">
            <v>1</v>
          </cell>
        </row>
        <row r="734">
          <cell r="D734">
            <v>41978</v>
          </cell>
          <cell r="U734">
            <v>0</v>
          </cell>
          <cell r="Z734">
            <v>1</v>
          </cell>
        </row>
        <row r="735">
          <cell r="D735">
            <v>41978</v>
          </cell>
          <cell r="U735">
            <v>0</v>
          </cell>
          <cell r="Z735">
            <v>1</v>
          </cell>
        </row>
        <row r="736">
          <cell r="D736">
            <v>41978</v>
          </cell>
          <cell r="U736">
            <v>0</v>
          </cell>
          <cell r="Z736">
            <v>1</v>
          </cell>
        </row>
        <row r="737">
          <cell r="D737">
            <v>41978</v>
          </cell>
          <cell r="U737">
            <v>0</v>
          </cell>
          <cell r="Z737">
            <v>1</v>
          </cell>
        </row>
        <row r="738">
          <cell r="D738">
            <v>41978</v>
          </cell>
          <cell r="U738">
            <v>0</v>
          </cell>
          <cell r="Z738">
            <v>1</v>
          </cell>
        </row>
        <row r="739">
          <cell r="D739">
            <v>41978</v>
          </cell>
          <cell r="U739">
            <v>0</v>
          </cell>
          <cell r="Z739">
            <v>1</v>
          </cell>
        </row>
        <row r="740">
          <cell r="D740">
            <v>41978</v>
          </cell>
          <cell r="U740">
            <v>1</v>
          </cell>
          <cell r="Z740">
            <v>0</v>
          </cell>
        </row>
        <row r="741">
          <cell r="D741">
            <v>41978</v>
          </cell>
          <cell r="U741">
            <v>0</v>
          </cell>
          <cell r="Z741">
            <v>1</v>
          </cell>
        </row>
        <row r="742">
          <cell r="D742">
            <v>41978</v>
          </cell>
          <cell r="U742">
            <v>0</v>
          </cell>
          <cell r="Z742">
            <v>1</v>
          </cell>
        </row>
        <row r="743">
          <cell r="D743">
            <v>41978</v>
          </cell>
          <cell r="U743">
            <v>0</v>
          </cell>
          <cell r="Z743">
            <v>1</v>
          </cell>
        </row>
        <row r="744">
          <cell r="D744">
            <v>41978</v>
          </cell>
          <cell r="U744">
            <v>2</v>
          </cell>
          <cell r="Z744">
            <v>0</v>
          </cell>
        </row>
        <row r="745">
          <cell r="D745">
            <v>41978</v>
          </cell>
          <cell r="U745">
            <v>0</v>
          </cell>
          <cell r="Z745">
            <v>1</v>
          </cell>
        </row>
        <row r="746">
          <cell r="D746">
            <v>41978</v>
          </cell>
          <cell r="U746">
            <v>0</v>
          </cell>
          <cell r="Z746">
            <v>1</v>
          </cell>
        </row>
        <row r="747">
          <cell r="D747">
            <v>41978</v>
          </cell>
          <cell r="U747">
            <v>0</v>
          </cell>
          <cell r="Z747">
            <v>1</v>
          </cell>
        </row>
        <row r="748">
          <cell r="D748">
            <v>41978</v>
          </cell>
          <cell r="U748">
            <v>0</v>
          </cell>
          <cell r="Z748">
            <v>1</v>
          </cell>
        </row>
        <row r="749">
          <cell r="D749">
            <v>41978</v>
          </cell>
          <cell r="U749">
            <v>0</v>
          </cell>
          <cell r="Z749">
            <v>1</v>
          </cell>
        </row>
        <row r="750">
          <cell r="D750">
            <v>41978</v>
          </cell>
          <cell r="U750">
            <v>1</v>
          </cell>
          <cell r="Z750">
            <v>0</v>
          </cell>
        </row>
        <row r="751">
          <cell r="D751">
            <v>41978</v>
          </cell>
          <cell r="U751">
            <v>3</v>
          </cell>
          <cell r="Z751">
            <v>0</v>
          </cell>
        </row>
        <row r="752">
          <cell r="D752">
            <v>41978</v>
          </cell>
          <cell r="U752">
            <v>0</v>
          </cell>
          <cell r="Z752">
            <v>1</v>
          </cell>
        </row>
        <row r="753">
          <cell r="D753">
            <v>41978</v>
          </cell>
          <cell r="U753">
            <v>2</v>
          </cell>
          <cell r="Z753">
            <v>0</v>
          </cell>
        </row>
        <row r="754">
          <cell r="D754">
            <v>41978</v>
          </cell>
          <cell r="U754">
            <v>2</v>
          </cell>
          <cell r="Z754">
            <v>0</v>
          </cell>
        </row>
        <row r="755">
          <cell r="D755">
            <v>41978</v>
          </cell>
          <cell r="U755">
            <v>0</v>
          </cell>
          <cell r="Z755">
            <v>1</v>
          </cell>
        </row>
        <row r="756">
          <cell r="D756">
            <v>41978</v>
          </cell>
          <cell r="U756">
            <v>0</v>
          </cell>
          <cell r="Z756">
            <v>1</v>
          </cell>
        </row>
        <row r="757">
          <cell r="D757">
            <v>41978</v>
          </cell>
          <cell r="U757">
            <v>0</v>
          </cell>
          <cell r="Z757">
            <v>1</v>
          </cell>
        </row>
        <row r="758">
          <cell r="D758">
            <v>41978</v>
          </cell>
          <cell r="U758">
            <v>0</v>
          </cell>
          <cell r="Z758">
            <v>1</v>
          </cell>
        </row>
        <row r="759">
          <cell r="D759">
            <v>41978</v>
          </cell>
          <cell r="U759">
            <v>0</v>
          </cell>
          <cell r="Z759">
            <v>1</v>
          </cell>
        </row>
        <row r="760">
          <cell r="D760">
            <v>41978</v>
          </cell>
          <cell r="U760">
            <v>0</v>
          </cell>
          <cell r="Z760">
            <v>1</v>
          </cell>
        </row>
        <row r="761">
          <cell r="D761">
            <v>41978</v>
          </cell>
          <cell r="U761">
            <v>0</v>
          </cell>
          <cell r="Z761">
            <v>1</v>
          </cell>
        </row>
        <row r="762">
          <cell r="D762">
            <v>41978</v>
          </cell>
          <cell r="U762">
            <v>0</v>
          </cell>
          <cell r="Z762">
            <v>1</v>
          </cell>
        </row>
        <row r="763">
          <cell r="D763">
            <v>41978</v>
          </cell>
          <cell r="U763">
            <v>0</v>
          </cell>
          <cell r="Z763">
            <v>1</v>
          </cell>
        </row>
        <row r="764">
          <cell r="D764">
            <v>41978</v>
          </cell>
          <cell r="U764">
            <v>0</v>
          </cell>
          <cell r="Z764">
            <v>1</v>
          </cell>
        </row>
        <row r="765">
          <cell r="D765">
            <v>41978</v>
          </cell>
          <cell r="U765">
            <v>0</v>
          </cell>
          <cell r="Z765">
            <v>1</v>
          </cell>
        </row>
        <row r="766">
          <cell r="D766">
            <v>41978</v>
          </cell>
          <cell r="U766">
            <v>3</v>
          </cell>
          <cell r="Z766">
            <v>0</v>
          </cell>
        </row>
        <row r="767">
          <cell r="D767">
            <v>41978</v>
          </cell>
          <cell r="U767">
            <v>0</v>
          </cell>
          <cell r="Z767">
            <v>1</v>
          </cell>
        </row>
        <row r="768">
          <cell r="D768">
            <v>41978</v>
          </cell>
          <cell r="U768">
            <v>0</v>
          </cell>
          <cell r="Z768">
            <v>1</v>
          </cell>
        </row>
        <row r="769">
          <cell r="D769">
            <v>41978</v>
          </cell>
          <cell r="U769">
            <v>0</v>
          </cell>
          <cell r="Z769">
            <v>1</v>
          </cell>
        </row>
        <row r="770">
          <cell r="D770">
            <v>41978</v>
          </cell>
          <cell r="U770">
            <v>0</v>
          </cell>
          <cell r="Z770">
            <v>1</v>
          </cell>
        </row>
        <row r="771">
          <cell r="D771">
            <v>41978</v>
          </cell>
          <cell r="U771">
            <v>2</v>
          </cell>
          <cell r="Z771">
            <v>0</v>
          </cell>
        </row>
        <row r="772">
          <cell r="D772">
            <v>41978</v>
          </cell>
          <cell r="U772">
            <v>0</v>
          </cell>
          <cell r="Z772">
            <v>1</v>
          </cell>
        </row>
        <row r="773">
          <cell r="D773">
            <v>41978</v>
          </cell>
          <cell r="U773">
            <v>0</v>
          </cell>
          <cell r="Z773">
            <v>1</v>
          </cell>
        </row>
        <row r="774">
          <cell r="D774">
            <v>41978</v>
          </cell>
          <cell r="U774">
            <v>3</v>
          </cell>
          <cell r="Z774">
            <v>0</v>
          </cell>
        </row>
        <row r="775">
          <cell r="D775">
            <v>41978</v>
          </cell>
          <cell r="U775">
            <v>0</v>
          </cell>
          <cell r="Z775">
            <v>1</v>
          </cell>
        </row>
        <row r="776">
          <cell r="D776">
            <v>41978</v>
          </cell>
          <cell r="U776">
            <v>0</v>
          </cell>
          <cell r="Z776">
            <v>1</v>
          </cell>
        </row>
        <row r="777">
          <cell r="D777">
            <v>41978</v>
          </cell>
          <cell r="U777">
            <v>1</v>
          </cell>
          <cell r="Z777">
            <v>0</v>
          </cell>
        </row>
        <row r="778">
          <cell r="D778">
            <v>41978</v>
          </cell>
          <cell r="U778">
            <v>0</v>
          </cell>
          <cell r="Z778">
            <v>1</v>
          </cell>
        </row>
        <row r="779">
          <cell r="D779">
            <v>41978</v>
          </cell>
          <cell r="U779">
            <v>0</v>
          </cell>
          <cell r="Z779">
            <v>1</v>
          </cell>
        </row>
        <row r="780">
          <cell r="D780">
            <v>41978</v>
          </cell>
          <cell r="U780">
            <v>3</v>
          </cell>
          <cell r="Z780">
            <v>0</v>
          </cell>
        </row>
        <row r="781">
          <cell r="D781">
            <v>41978</v>
          </cell>
          <cell r="U781">
            <v>0</v>
          </cell>
          <cell r="Z781">
            <v>1</v>
          </cell>
        </row>
        <row r="782">
          <cell r="D782">
            <v>41978</v>
          </cell>
          <cell r="U782">
            <v>2</v>
          </cell>
          <cell r="Z782">
            <v>0</v>
          </cell>
        </row>
        <row r="783">
          <cell r="D783">
            <v>41978</v>
          </cell>
          <cell r="U783">
            <v>0</v>
          </cell>
          <cell r="Z783">
            <v>1</v>
          </cell>
        </row>
        <row r="784">
          <cell r="D784">
            <v>41978</v>
          </cell>
          <cell r="U784">
            <v>0</v>
          </cell>
          <cell r="Z784">
            <v>1</v>
          </cell>
        </row>
        <row r="785">
          <cell r="D785">
            <v>41978</v>
          </cell>
          <cell r="U785">
            <v>2</v>
          </cell>
          <cell r="Z785">
            <v>0</v>
          </cell>
        </row>
        <row r="786">
          <cell r="D786">
            <v>41978</v>
          </cell>
          <cell r="U786">
            <v>0</v>
          </cell>
          <cell r="Z786">
            <v>1</v>
          </cell>
        </row>
        <row r="787">
          <cell r="D787">
            <v>41978</v>
          </cell>
          <cell r="U787">
            <v>3</v>
          </cell>
          <cell r="Z787">
            <v>0</v>
          </cell>
        </row>
        <row r="788">
          <cell r="D788">
            <v>41978</v>
          </cell>
          <cell r="U788">
            <v>3</v>
          </cell>
          <cell r="Z788">
            <v>0</v>
          </cell>
        </row>
        <row r="789">
          <cell r="D789">
            <v>41978</v>
          </cell>
          <cell r="U789">
            <v>2</v>
          </cell>
          <cell r="Z789">
            <v>0</v>
          </cell>
        </row>
        <row r="790">
          <cell r="D790">
            <v>41978</v>
          </cell>
          <cell r="U790">
            <v>1</v>
          </cell>
          <cell r="Z790">
            <v>0</v>
          </cell>
        </row>
        <row r="791">
          <cell r="D791">
            <v>41978</v>
          </cell>
          <cell r="U791">
            <v>0</v>
          </cell>
          <cell r="Z791">
            <v>1</v>
          </cell>
        </row>
        <row r="792">
          <cell r="D792">
            <v>41978</v>
          </cell>
          <cell r="U792">
            <v>0</v>
          </cell>
          <cell r="Z792">
            <v>1</v>
          </cell>
        </row>
        <row r="793">
          <cell r="D793">
            <v>41978</v>
          </cell>
          <cell r="U793">
            <v>0</v>
          </cell>
          <cell r="Z793">
            <v>1</v>
          </cell>
        </row>
        <row r="794">
          <cell r="D794">
            <v>41978</v>
          </cell>
          <cell r="U794">
            <v>0</v>
          </cell>
          <cell r="Z794">
            <v>1</v>
          </cell>
        </row>
        <row r="795">
          <cell r="D795">
            <v>41978</v>
          </cell>
          <cell r="U795">
            <v>1</v>
          </cell>
          <cell r="Z795">
            <v>0</v>
          </cell>
        </row>
        <row r="796">
          <cell r="D796">
            <v>41978</v>
          </cell>
          <cell r="U796">
            <v>2</v>
          </cell>
          <cell r="Z796">
            <v>0</v>
          </cell>
        </row>
        <row r="797">
          <cell r="D797">
            <v>41978</v>
          </cell>
          <cell r="U797">
            <v>1</v>
          </cell>
          <cell r="Z797">
            <v>0</v>
          </cell>
        </row>
        <row r="798">
          <cell r="D798">
            <v>41978</v>
          </cell>
          <cell r="U798">
            <v>2</v>
          </cell>
          <cell r="Z798">
            <v>0</v>
          </cell>
        </row>
        <row r="799">
          <cell r="D799">
            <v>41978</v>
          </cell>
          <cell r="U799">
            <v>0</v>
          </cell>
          <cell r="Z799">
            <v>1</v>
          </cell>
        </row>
        <row r="800">
          <cell r="D800">
            <v>41978</v>
          </cell>
          <cell r="U800">
            <v>2</v>
          </cell>
          <cell r="Z800">
            <v>0</v>
          </cell>
        </row>
        <row r="801">
          <cell r="D801">
            <v>41978</v>
          </cell>
          <cell r="U801">
            <v>0</v>
          </cell>
          <cell r="Z801">
            <v>1</v>
          </cell>
        </row>
        <row r="802">
          <cell r="D802">
            <v>41978</v>
          </cell>
          <cell r="U802">
            <v>0</v>
          </cell>
          <cell r="Z802">
            <v>1</v>
          </cell>
        </row>
        <row r="803">
          <cell r="D803">
            <v>41978</v>
          </cell>
          <cell r="U803">
            <v>0</v>
          </cell>
          <cell r="Z803">
            <v>1</v>
          </cell>
        </row>
        <row r="804">
          <cell r="D804">
            <v>41978</v>
          </cell>
          <cell r="U804">
            <v>1</v>
          </cell>
          <cell r="Z804">
            <v>0</v>
          </cell>
        </row>
        <row r="805">
          <cell r="D805">
            <v>41978</v>
          </cell>
          <cell r="U805">
            <v>0</v>
          </cell>
          <cell r="Z805">
            <v>1</v>
          </cell>
        </row>
        <row r="806">
          <cell r="D806">
            <v>41978</v>
          </cell>
          <cell r="U806">
            <v>0</v>
          </cell>
          <cell r="Z806">
            <v>1</v>
          </cell>
        </row>
        <row r="807">
          <cell r="D807">
            <v>41978</v>
          </cell>
          <cell r="U807">
            <v>0</v>
          </cell>
          <cell r="Z807">
            <v>1</v>
          </cell>
        </row>
        <row r="808">
          <cell r="D808">
            <v>41978</v>
          </cell>
          <cell r="U808">
            <v>3</v>
          </cell>
          <cell r="Z808">
            <v>0</v>
          </cell>
        </row>
        <row r="809">
          <cell r="D809">
            <v>41978</v>
          </cell>
          <cell r="U809">
            <v>0</v>
          </cell>
          <cell r="Z809">
            <v>1</v>
          </cell>
        </row>
        <row r="810">
          <cell r="D810">
            <v>41978</v>
          </cell>
          <cell r="U810">
            <v>2</v>
          </cell>
          <cell r="Z810">
            <v>0</v>
          </cell>
        </row>
        <row r="811">
          <cell r="D811">
            <v>41978</v>
          </cell>
          <cell r="U811">
            <v>0</v>
          </cell>
          <cell r="Z811">
            <v>1</v>
          </cell>
        </row>
        <row r="812">
          <cell r="D812">
            <v>41978</v>
          </cell>
          <cell r="U812">
            <v>2</v>
          </cell>
          <cell r="Z812">
            <v>0</v>
          </cell>
        </row>
        <row r="813">
          <cell r="D813">
            <v>41978</v>
          </cell>
          <cell r="U813">
            <v>2</v>
          </cell>
          <cell r="Z813">
            <v>0</v>
          </cell>
        </row>
        <row r="814">
          <cell r="D814">
            <v>41978</v>
          </cell>
          <cell r="U814">
            <v>0</v>
          </cell>
          <cell r="Z814">
            <v>1</v>
          </cell>
        </row>
        <row r="815">
          <cell r="D815">
            <v>41978</v>
          </cell>
          <cell r="U815">
            <v>2</v>
          </cell>
          <cell r="Z815">
            <v>0</v>
          </cell>
        </row>
        <row r="816">
          <cell r="D816">
            <v>41978</v>
          </cell>
          <cell r="U816">
            <v>0</v>
          </cell>
          <cell r="Z816">
            <v>1</v>
          </cell>
        </row>
        <row r="817">
          <cell r="D817">
            <v>41978</v>
          </cell>
          <cell r="U817">
            <v>1</v>
          </cell>
          <cell r="Z817">
            <v>0</v>
          </cell>
        </row>
        <row r="818">
          <cell r="D818">
            <v>41978</v>
          </cell>
          <cell r="U818">
            <v>1</v>
          </cell>
          <cell r="Z818">
            <v>0</v>
          </cell>
        </row>
        <row r="819">
          <cell r="D819">
            <v>41978</v>
          </cell>
          <cell r="U819">
            <v>0</v>
          </cell>
          <cell r="Z819">
            <v>1</v>
          </cell>
        </row>
        <row r="820">
          <cell r="D820">
            <v>41978</v>
          </cell>
          <cell r="U820">
            <v>0</v>
          </cell>
          <cell r="Z820">
            <v>1</v>
          </cell>
        </row>
        <row r="821">
          <cell r="D821">
            <v>41978</v>
          </cell>
          <cell r="U821">
            <v>0</v>
          </cell>
          <cell r="Z821">
            <v>1</v>
          </cell>
        </row>
        <row r="822">
          <cell r="D822">
            <v>41978</v>
          </cell>
          <cell r="U822">
            <v>0</v>
          </cell>
          <cell r="Z822">
            <v>1</v>
          </cell>
        </row>
        <row r="823">
          <cell r="D823">
            <v>41978</v>
          </cell>
          <cell r="U823">
            <v>2</v>
          </cell>
          <cell r="Z823">
            <v>0</v>
          </cell>
        </row>
        <row r="824">
          <cell r="D824">
            <v>41978</v>
          </cell>
          <cell r="U824">
            <v>0</v>
          </cell>
          <cell r="Z824">
            <v>1</v>
          </cell>
        </row>
        <row r="825">
          <cell r="D825">
            <v>41978</v>
          </cell>
          <cell r="U825">
            <v>0</v>
          </cell>
          <cell r="Z825">
            <v>1</v>
          </cell>
        </row>
        <row r="826">
          <cell r="D826">
            <v>41978</v>
          </cell>
          <cell r="U826">
            <v>3</v>
          </cell>
          <cell r="Z826">
            <v>0</v>
          </cell>
        </row>
        <row r="827">
          <cell r="D827">
            <v>41978</v>
          </cell>
          <cell r="U827">
            <v>3</v>
          </cell>
          <cell r="Z827">
            <v>0</v>
          </cell>
        </row>
        <row r="828">
          <cell r="D828">
            <v>41978</v>
          </cell>
          <cell r="U828">
            <v>2</v>
          </cell>
          <cell r="Z828">
            <v>0</v>
          </cell>
        </row>
        <row r="829">
          <cell r="D829">
            <v>41978</v>
          </cell>
          <cell r="U829">
            <v>0</v>
          </cell>
          <cell r="Z829">
            <v>1</v>
          </cell>
        </row>
        <row r="830">
          <cell r="D830">
            <v>41978</v>
          </cell>
          <cell r="U830">
            <v>0</v>
          </cell>
          <cell r="Z830">
            <v>1</v>
          </cell>
        </row>
        <row r="831">
          <cell r="D831">
            <v>41978</v>
          </cell>
          <cell r="U831">
            <v>1</v>
          </cell>
          <cell r="Z831">
            <v>0</v>
          </cell>
        </row>
        <row r="832">
          <cell r="D832">
            <v>41978</v>
          </cell>
          <cell r="U832">
            <v>0</v>
          </cell>
          <cell r="Z832">
            <v>1</v>
          </cell>
        </row>
        <row r="833">
          <cell r="D833">
            <v>41978</v>
          </cell>
          <cell r="U833">
            <v>0</v>
          </cell>
          <cell r="Z833">
            <v>1</v>
          </cell>
        </row>
        <row r="834">
          <cell r="D834">
            <v>41978</v>
          </cell>
          <cell r="U834">
            <v>3</v>
          </cell>
          <cell r="Z834">
            <v>0</v>
          </cell>
        </row>
        <row r="835">
          <cell r="D835">
            <v>41978</v>
          </cell>
          <cell r="U835">
            <v>2</v>
          </cell>
          <cell r="Z835">
            <v>0</v>
          </cell>
        </row>
        <row r="836">
          <cell r="D836">
            <v>41978</v>
          </cell>
          <cell r="U836">
            <v>0</v>
          </cell>
          <cell r="Z836">
            <v>1</v>
          </cell>
        </row>
        <row r="837">
          <cell r="D837">
            <v>41978</v>
          </cell>
          <cell r="U837">
            <v>0</v>
          </cell>
          <cell r="Z837">
            <v>1</v>
          </cell>
        </row>
        <row r="838">
          <cell r="D838">
            <v>41978</v>
          </cell>
          <cell r="U838">
            <v>0</v>
          </cell>
          <cell r="Z838">
            <v>1</v>
          </cell>
        </row>
        <row r="839">
          <cell r="D839">
            <v>41978</v>
          </cell>
          <cell r="U839">
            <v>2</v>
          </cell>
          <cell r="Z839">
            <v>0</v>
          </cell>
        </row>
        <row r="840">
          <cell r="D840">
            <v>41978</v>
          </cell>
          <cell r="U840">
            <v>0</v>
          </cell>
          <cell r="Z840">
            <v>1</v>
          </cell>
        </row>
        <row r="841">
          <cell r="D841">
            <v>41978</v>
          </cell>
          <cell r="U841">
            <v>0</v>
          </cell>
          <cell r="Z841">
            <v>1</v>
          </cell>
        </row>
        <row r="842">
          <cell r="D842">
            <v>41978</v>
          </cell>
          <cell r="U842">
            <v>0</v>
          </cell>
          <cell r="Z842">
            <v>1</v>
          </cell>
        </row>
        <row r="843">
          <cell r="D843">
            <v>41978</v>
          </cell>
          <cell r="U843">
            <v>0</v>
          </cell>
          <cell r="Z843">
            <v>1</v>
          </cell>
        </row>
        <row r="844">
          <cell r="D844">
            <v>41978</v>
          </cell>
          <cell r="U844">
            <v>0</v>
          </cell>
          <cell r="Z844">
            <v>1</v>
          </cell>
        </row>
        <row r="845">
          <cell r="D845">
            <v>41978</v>
          </cell>
          <cell r="U845">
            <v>0</v>
          </cell>
          <cell r="Z845">
            <v>1</v>
          </cell>
        </row>
        <row r="846">
          <cell r="D846">
            <v>41978</v>
          </cell>
          <cell r="U846">
            <v>0</v>
          </cell>
          <cell r="Z846">
            <v>1</v>
          </cell>
        </row>
        <row r="847">
          <cell r="D847">
            <v>41978</v>
          </cell>
          <cell r="U847">
            <v>3</v>
          </cell>
          <cell r="Z847">
            <v>0</v>
          </cell>
        </row>
        <row r="848">
          <cell r="D848">
            <v>41978</v>
          </cell>
          <cell r="U848">
            <v>0</v>
          </cell>
          <cell r="Z848">
            <v>1</v>
          </cell>
        </row>
        <row r="849">
          <cell r="D849">
            <v>41978</v>
          </cell>
          <cell r="U849">
            <v>0</v>
          </cell>
          <cell r="Z849">
            <v>1</v>
          </cell>
        </row>
        <row r="850">
          <cell r="D850">
            <v>41978</v>
          </cell>
          <cell r="U850">
            <v>0</v>
          </cell>
          <cell r="Z850">
            <v>1</v>
          </cell>
        </row>
        <row r="851">
          <cell r="D851">
            <v>41978</v>
          </cell>
          <cell r="U851">
            <v>0</v>
          </cell>
          <cell r="Z851">
            <v>1</v>
          </cell>
        </row>
        <row r="852">
          <cell r="D852">
            <v>41978</v>
          </cell>
          <cell r="U852">
            <v>0</v>
          </cell>
          <cell r="Z852">
            <v>1</v>
          </cell>
        </row>
        <row r="853">
          <cell r="D853">
            <v>41978</v>
          </cell>
          <cell r="U853">
            <v>0</v>
          </cell>
          <cell r="Z853">
            <v>1</v>
          </cell>
        </row>
        <row r="854">
          <cell r="D854">
            <v>41978</v>
          </cell>
          <cell r="U854">
            <v>0</v>
          </cell>
          <cell r="Z854">
            <v>1</v>
          </cell>
        </row>
        <row r="855">
          <cell r="D855">
            <v>41978</v>
          </cell>
          <cell r="U855">
            <v>0</v>
          </cell>
          <cell r="Z855">
            <v>1</v>
          </cell>
        </row>
        <row r="856">
          <cell r="D856">
            <v>41978</v>
          </cell>
          <cell r="U856">
            <v>0</v>
          </cell>
          <cell r="Z856">
            <v>1</v>
          </cell>
        </row>
        <row r="857">
          <cell r="D857">
            <v>41978</v>
          </cell>
          <cell r="U857">
            <v>0</v>
          </cell>
          <cell r="Z857">
            <v>1</v>
          </cell>
        </row>
        <row r="858">
          <cell r="D858">
            <v>41978</v>
          </cell>
          <cell r="U858">
            <v>1</v>
          </cell>
          <cell r="Z858">
            <v>0</v>
          </cell>
        </row>
        <row r="859">
          <cell r="D859">
            <v>41978</v>
          </cell>
          <cell r="U859">
            <v>2</v>
          </cell>
          <cell r="Z859">
            <v>0</v>
          </cell>
        </row>
        <row r="860">
          <cell r="D860">
            <v>41978</v>
          </cell>
          <cell r="U860">
            <v>0</v>
          </cell>
          <cell r="Z860">
            <v>1</v>
          </cell>
        </row>
        <row r="861">
          <cell r="D861">
            <v>41978</v>
          </cell>
          <cell r="U861">
            <v>0</v>
          </cell>
          <cell r="Z861">
            <v>1</v>
          </cell>
        </row>
        <row r="862">
          <cell r="D862">
            <v>41978</v>
          </cell>
          <cell r="U862">
            <v>0</v>
          </cell>
          <cell r="Z862">
            <v>1</v>
          </cell>
        </row>
        <row r="863">
          <cell r="D863">
            <v>41978</v>
          </cell>
          <cell r="U863">
            <v>0</v>
          </cell>
          <cell r="Z863">
            <v>1</v>
          </cell>
        </row>
        <row r="864">
          <cell r="D864">
            <v>41978</v>
          </cell>
          <cell r="U864">
            <v>3</v>
          </cell>
          <cell r="Z864">
            <v>0</v>
          </cell>
        </row>
        <row r="865">
          <cell r="D865">
            <v>41978</v>
          </cell>
          <cell r="U865">
            <v>0</v>
          </cell>
          <cell r="Z865">
            <v>1</v>
          </cell>
        </row>
        <row r="866">
          <cell r="D866">
            <v>41978</v>
          </cell>
          <cell r="U866">
            <v>1</v>
          </cell>
          <cell r="Z866">
            <v>0</v>
          </cell>
        </row>
        <row r="867">
          <cell r="D867">
            <v>41978</v>
          </cell>
          <cell r="U867">
            <v>0</v>
          </cell>
          <cell r="Z867">
            <v>1</v>
          </cell>
        </row>
        <row r="868">
          <cell r="D868">
            <v>41978</v>
          </cell>
          <cell r="U868">
            <v>0</v>
          </cell>
          <cell r="Z868">
            <v>1</v>
          </cell>
        </row>
        <row r="869">
          <cell r="D869">
            <v>41978</v>
          </cell>
          <cell r="U869">
            <v>2</v>
          </cell>
          <cell r="Z869">
            <v>0</v>
          </cell>
        </row>
        <row r="870">
          <cell r="D870">
            <v>41978</v>
          </cell>
          <cell r="U870">
            <v>0</v>
          </cell>
          <cell r="Z870">
            <v>1</v>
          </cell>
        </row>
        <row r="871">
          <cell r="D871">
            <v>41978</v>
          </cell>
          <cell r="U871">
            <v>0</v>
          </cell>
          <cell r="Z871">
            <v>1</v>
          </cell>
        </row>
        <row r="872">
          <cell r="D872">
            <v>41978</v>
          </cell>
          <cell r="U872">
            <v>0</v>
          </cell>
          <cell r="Z872">
            <v>1</v>
          </cell>
        </row>
        <row r="873">
          <cell r="D873">
            <v>41978</v>
          </cell>
          <cell r="U873">
            <v>0</v>
          </cell>
          <cell r="Z873">
            <v>1</v>
          </cell>
        </row>
        <row r="874">
          <cell r="D874">
            <v>41978</v>
          </cell>
          <cell r="U874">
            <v>0</v>
          </cell>
          <cell r="Z874">
            <v>1</v>
          </cell>
        </row>
        <row r="875">
          <cell r="D875">
            <v>41978</v>
          </cell>
          <cell r="U875">
            <v>0</v>
          </cell>
          <cell r="Z875">
            <v>1</v>
          </cell>
        </row>
        <row r="876">
          <cell r="D876">
            <v>41978</v>
          </cell>
          <cell r="U876">
            <v>0</v>
          </cell>
          <cell r="Z876">
            <v>1</v>
          </cell>
        </row>
        <row r="877">
          <cell r="D877">
            <v>41978</v>
          </cell>
          <cell r="U877">
            <v>0</v>
          </cell>
          <cell r="Z877">
            <v>1</v>
          </cell>
        </row>
        <row r="878">
          <cell r="D878">
            <v>41978</v>
          </cell>
          <cell r="U878">
            <v>0</v>
          </cell>
          <cell r="Z878">
            <v>1</v>
          </cell>
        </row>
        <row r="879">
          <cell r="D879">
            <v>41978</v>
          </cell>
          <cell r="U879">
            <v>1</v>
          </cell>
          <cell r="Z879">
            <v>0</v>
          </cell>
        </row>
        <row r="880">
          <cell r="D880">
            <v>41978</v>
          </cell>
          <cell r="U880">
            <v>0</v>
          </cell>
          <cell r="Z880">
            <v>1</v>
          </cell>
        </row>
        <row r="881">
          <cell r="D881">
            <v>41978</v>
          </cell>
          <cell r="U881">
            <v>0</v>
          </cell>
          <cell r="Z881">
            <v>1</v>
          </cell>
        </row>
        <row r="882">
          <cell r="D882">
            <v>41978</v>
          </cell>
          <cell r="U882">
            <v>2</v>
          </cell>
          <cell r="Z882">
            <v>0</v>
          </cell>
        </row>
        <row r="883">
          <cell r="D883">
            <v>41978</v>
          </cell>
          <cell r="U883">
            <v>0</v>
          </cell>
          <cell r="Z883">
            <v>1</v>
          </cell>
        </row>
        <row r="884">
          <cell r="D884">
            <v>41978</v>
          </cell>
          <cell r="U884">
            <v>0</v>
          </cell>
          <cell r="Z884">
            <v>1</v>
          </cell>
        </row>
        <row r="885">
          <cell r="D885">
            <v>41978</v>
          </cell>
          <cell r="U885">
            <v>0</v>
          </cell>
          <cell r="Z885">
            <v>1</v>
          </cell>
        </row>
        <row r="886">
          <cell r="D886">
            <v>41978</v>
          </cell>
          <cell r="U886">
            <v>0</v>
          </cell>
          <cell r="Z886">
            <v>1</v>
          </cell>
        </row>
        <row r="887">
          <cell r="D887">
            <v>41978</v>
          </cell>
          <cell r="U887">
            <v>0</v>
          </cell>
          <cell r="Z887">
            <v>1</v>
          </cell>
        </row>
        <row r="888">
          <cell r="D888">
            <v>41978</v>
          </cell>
          <cell r="U888">
            <v>0</v>
          </cell>
          <cell r="Z888">
            <v>1</v>
          </cell>
        </row>
        <row r="889">
          <cell r="D889">
            <v>41978</v>
          </cell>
          <cell r="U889">
            <v>2</v>
          </cell>
          <cell r="Z889">
            <v>0</v>
          </cell>
        </row>
        <row r="890">
          <cell r="D890">
            <v>41978</v>
          </cell>
          <cell r="U890">
            <v>0</v>
          </cell>
          <cell r="Z890">
            <v>1</v>
          </cell>
        </row>
        <row r="891">
          <cell r="D891">
            <v>41978</v>
          </cell>
          <cell r="U891">
            <v>0</v>
          </cell>
          <cell r="Z891">
            <v>1</v>
          </cell>
        </row>
        <row r="892">
          <cell r="D892">
            <v>41978</v>
          </cell>
          <cell r="U892">
            <v>0</v>
          </cell>
          <cell r="Z892">
            <v>1</v>
          </cell>
        </row>
        <row r="893">
          <cell r="D893">
            <v>41978</v>
          </cell>
          <cell r="U893">
            <v>2</v>
          </cell>
          <cell r="Z893">
            <v>0</v>
          </cell>
        </row>
        <row r="894">
          <cell r="D894">
            <v>41978</v>
          </cell>
          <cell r="U894">
            <v>2</v>
          </cell>
          <cell r="Z894">
            <v>0</v>
          </cell>
        </row>
        <row r="895">
          <cell r="D895">
            <v>41978</v>
          </cell>
          <cell r="U895">
            <v>0</v>
          </cell>
          <cell r="Z895">
            <v>1</v>
          </cell>
        </row>
        <row r="896">
          <cell r="D896">
            <v>41978</v>
          </cell>
          <cell r="U896">
            <v>0</v>
          </cell>
          <cell r="Z896">
            <v>1</v>
          </cell>
        </row>
        <row r="897">
          <cell r="D897">
            <v>41978</v>
          </cell>
          <cell r="U897">
            <v>0</v>
          </cell>
          <cell r="Z897">
            <v>1</v>
          </cell>
        </row>
        <row r="898">
          <cell r="D898">
            <v>41978</v>
          </cell>
          <cell r="U898">
            <v>0</v>
          </cell>
          <cell r="Z898">
            <v>1</v>
          </cell>
        </row>
        <row r="899">
          <cell r="D899">
            <v>41978</v>
          </cell>
          <cell r="U899">
            <v>0</v>
          </cell>
          <cell r="Z899">
            <v>1</v>
          </cell>
        </row>
        <row r="900">
          <cell r="D900">
            <v>41978</v>
          </cell>
          <cell r="U900">
            <v>0</v>
          </cell>
          <cell r="Z900">
            <v>1</v>
          </cell>
        </row>
        <row r="901">
          <cell r="D901">
            <v>41978</v>
          </cell>
          <cell r="U901">
            <v>1</v>
          </cell>
          <cell r="Z901">
            <v>0</v>
          </cell>
        </row>
        <row r="902">
          <cell r="D902">
            <v>41978</v>
          </cell>
          <cell r="U902">
            <v>1</v>
          </cell>
          <cell r="Z902">
            <v>0</v>
          </cell>
        </row>
        <row r="903">
          <cell r="D903">
            <v>41978</v>
          </cell>
          <cell r="U903">
            <v>0</v>
          </cell>
          <cell r="Z903">
            <v>1</v>
          </cell>
        </row>
        <row r="904">
          <cell r="D904">
            <v>41978</v>
          </cell>
          <cell r="U904">
            <v>0</v>
          </cell>
          <cell r="Z904">
            <v>1</v>
          </cell>
        </row>
        <row r="905">
          <cell r="D905">
            <v>41978</v>
          </cell>
          <cell r="U905">
            <v>2</v>
          </cell>
          <cell r="Z905">
            <v>0</v>
          </cell>
        </row>
        <row r="906">
          <cell r="D906">
            <v>41978</v>
          </cell>
          <cell r="U906">
            <v>0</v>
          </cell>
          <cell r="Z906">
            <v>1</v>
          </cell>
        </row>
        <row r="907">
          <cell r="D907">
            <v>41978</v>
          </cell>
          <cell r="U907">
            <v>0</v>
          </cell>
          <cell r="Z907">
            <v>1</v>
          </cell>
        </row>
        <row r="908">
          <cell r="D908">
            <v>41978</v>
          </cell>
          <cell r="U908">
            <v>0</v>
          </cell>
          <cell r="Z908">
            <v>1</v>
          </cell>
        </row>
        <row r="909">
          <cell r="D909">
            <v>41978</v>
          </cell>
          <cell r="U909">
            <v>1</v>
          </cell>
          <cell r="Z909">
            <v>0</v>
          </cell>
        </row>
        <row r="910">
          <cell r="D910">
            <v>41978</v>
          </cell>
          <cell r="U910">
            <v>0</v>
          </cell>
          <cell r="Z910">
            <v>1</v>
          </cell>
        </row>
        <row r="911">
          <cell r="D911">
            <v>41978</v>
          </cell>
          <cell r="U911">
            <v>0</v>
          </cell>
          <cell r="Z911">
            <v>1</v>
          </cell>
        </row>
        <row r="912">
          <cell r="D912">
            <v>41978</v>
          </cell>
          <cell r="U912">
            <v>0</v>
          </cell>
          <cell r="Z912">
            <v>1</v>
          </cell>
        </row>
        <row r="913">
          <cell r="D913">
            <v>41978</v>
          </cell>
          <cell r="U913">
            <v>1</v>
          </cell>
          <cell r="Z913">
            <v>0</v>
          </cell>
        </row>
        <row r="914">
          <cell r="D914">
            <v>41978</v>
          </cell>
          <cell r="U914">
            <v>2</v>
          </cell>
          <cell r="Z914">
            <v>0</v>
          </cell>
        </row>
        <row r="915">
          <cell r="D915">
            <v>41978</v>
          </cell>
          <cell r="U915">
            <v>0</v>
          </cell>
          <cell r="Z915">
            <v>1</v>
          </cell>
        </row>
        <row r="916">
          <cell r="D916">
            <v>41978</v>
          </cell>
          <cell r="U916">
            <v>0</v>
          </cell>
          <cell r="Z916">
            <v>1</v>
          </cell>
        </row>
        <row r="917">
          <cell r="D917">
            <v>41978</v>
          </cell>
          <cell r="U917">
            <v>0</v>
          </cell>
          <cell r="Z917">
            <v>1</v>
          </cell>
        </row>
        <row r="918">
          <cell r="D918">
            <v>41978</v>
          </cell>
          <cell r="U918">
            <v>0</v>
          </cell>
          <cell r="Z918">
            <v>1</v>
          </cell>
        </row>
        <row r="919">
          <cell r="D919">
            <v>41978</v>
          </cell>
          <cell r="U919">
            <v>0</v>
          </cell>
          <cell r="Z919">
            <v>1</v>
          </cell>
        </row>
        <row r="920">
          <cell r="D920">
            <v>41978</v>
          </cell>
          <cell r="U920">
            <v>0</v>
          </cell>
          <cell r="Z920">
            <v>1</v>
          </cell>
        </row>
        <row r="921">
          <cell r="D921">
            <v>41978</v>
          </cell>
          <cell r="U921">
            <v>0</v>
          </cell>
          <cell r="Z921">
            <v>1</v>
          </cell>
        </row>
        <row r="922">
          <cell r="D922">
            <v>41978</v>
          </cell>
          <cell r="U922">
            <v>0</v>
          </cell>
          <cell r="Z922">
            <v>1</v>
          </cell>
        </row>
        <row r="923">
          <cell r="D923">
            <v>41978</v>
          </cell>
          <cell r="U923">
            <v>0</v>
          </cell>
          <cell r="Z923">
            <v>1</v>
          </cell>
        </row>
        <row r="924">
          <cell r="D924">
            <v>41978</v>
          </cell>
          <cell r="U924">
            <v>0</v>
          </cell>
          <cell r="Z924">
            <v>1</v>
          </cell>
        </row>
        <row r="925">
          <cell r="D925">
            <v>41978</v>
          </cell>
          <cell r="U925">
            <v>0</v>
          </cell>
          <cell r="Z925">
            <v>1</v>
          </cell>
        </row>
        <row r="926">
          <cell r="D926">
            <v>41978</v>
          </cell>
          <cell r="U926">
            <v>3</v>
          </cell>
          <cell r="Z926">
            <v>0</v>
          </cell>
        </row>
        <row r="927">
          <cell r="D927">
            <v>41978</v>
          </cell>
          <cell r="U927">
            <v>2</v>
          </cell>
          <cell r="Z927">
            <v>0</v>
          </cell>
        </row>
        <row r="928">
          <cell r="D928">
            <v>41978</v>
          </cell>
          <cell r="U928">
            <v>0</v>
          </cell>
          <cell r="Z928">
            <v>1</v>
          </cell>
        </row>
        <row r="929">
          <cell r="D929">
            <v>41978</v>
          </cell>
          <cell r="U929">
            <v>0</v>
          </cell>
          <cell r="Z929">
            <v>1</v>
          </cell>
        </row>
        <row r="930">
          <cell r="D930">
            <v>41978</v>
          </cell>
          <cell r="U930">
            <v>0</v>
          </cell>
          <cell r="Z930">
            <v>1</v>
          </cell>
        </row>
        <row r="931">
          <cell r="D931">
            <v>41978</v>
          </cell>
          <cell r="U931">
            <v>0</v>
          </cell>
          <cell r="Z931">
            <v>1</v>
          </cell>
        </row>
        <row r="932">
          <cell r="D932">
            <v>41978</v>
          </cell>
          <cell r="U932">
            <v>0</v>
          </cell>
          <cell r="Z932">
            <v>1</v>
          </cell>
        </row>
        <row r="933">
          <cell r="D933">
            <v>41978</v>
          </cell>
          <cell r="U933">
            <v>0</v>
          </cell>
          <cell r="Z933">
            <v>1</v>
          </cell>
        </row>
        <row r="934">
          <cell r="D934">
            <v>41978</v>
          </cell>
          <cell r="U934">
            <v>0</v>
          </cell>
          <cell r="Z934">
            <v>1</v>
          </cell>
        </row>
        <row r="935">
          <cell r="D935">
            <v>41978</v>
          </cell>
          <cell r="U935">
            <v>0</v>
          </cell>
          <cell r="Z935">
            <v>1</v>
          </cell>
        </row>
        <row r="936">
          <cell r="D936">
            <v>41978</v>
          </cell>
          <cell r="U936">
            <v>1</v>
          </cell>
          <cell r="Z936">
            <v>0</v>
          </cell>
        </row>
        <row r="937">
          <cell r="D937">
            <v>41978</v>
          </cell>
          <cell r="U937">
            <v>0</v>
          </cell>
          <cell r="Z937">
            <v>1</v>
          </cell>
        </row>
        <row r="938">
          <cell r="D938">
            <v>41979</v>
          </cell>
          <cell r="U938">
            <v>0</v>
          </cell>
          <cell r="Z938">
            <v>1</v>
          </cell>
        </row>
        <row r="939">
          <cell r="D939">
            <v>41979</v>
          </cell>
          <cell r="U939">
            <v>1</v>
          </cell>
          <cell r="Z939">
            <v>0</v>
          </cell>
        </row>
        <row r="940">
          <cell r="D940">
            <v>41979</v>
          </cell>
          <cell r="U940">
            <v>0</v>
          </cell>
          <cell r="Z940">
            <v>1</v>
          </cell>
        </row>
        <row r="941">
          <cell r="D941">
            <v>41979</v>
          </cell>
          <cell r="U941">
            <v>1</v>
          </cell>
          <cell r="Z941">
            <v>0</v>
          </cell>
        </row>
        <row r="942">
          <cell r="D942">
            <v>41979</v>
          </cell>
          <cell r="U942">
            <v>0</v>
          </cell>
          <cell r="Z942">
            <v>1</v>
          </cell>
        </row>
        <row r="943">
          <cell r="D943">
            <v>41979</v>
          </cell>
          <cell r="U943">
            <v>3</v>
          </cell>
          <cell r="Z943">
            <v>0</v>
          </cell>
        </row>
        <row r="944">
          <cell r="D944">
            <v>41979</v>
          </cell>
          <cell r="U944">
            <v>0</v>
          </cell>
          <cell r="Z944">
            <v>1</v>
          </cell>
        </row>
        <row r="945">
          <cell r="D945">
            <v>41979</v>
          </cell>
          <cell r="U945">
            <v>0</v>
          </cell>
          <cell r="Z945">
            <v>1</v>
          </cell>
        </row>
        <row r="946">
          <cell r="D946">
            <v>41979</v>
          </cell>
          <cell r="U946">
            <v>0</v>
          </cell>
          <cell r="Z946">
            <v>1</v>
          </cell>
        </row>
        <row r="947">
          <cell r="D947">
            <v>41979</v>
          </cell>
          <cell r="U947">
            <v>0</v>
          </cell>
          <cell r="Z947">
            <v>1</v>
          </cell>
        </row>
        <row r="948">
          <cell r="D948">
            <v>41979</v>
          </cell>
          <cell r="U948">
            <v>3</v>
          </cell>
          <cell r="Z948">
            <v>0</v>
          </cell>
        </row>
        <row r="949">
          <cell r="D949">
            <v>41979</v>
          </cell>
          <cell r="U949">
            <v>0</v>
          </cell>
          <cell r="Z949">
            <v>1</v>
          </cell>
        </row>
        <row r="950">
          <cell r="D950">
            <v>41979</v>
          </cell>
          <cell r="U950">
            <v>0</v>
          </cell>
          <cell r="Z950">
            <v>1</v>
          </cell>
        </row>
        <row r="951">
          <cell r="D951">
            <v>41979</v>
          </cell>
          <cell r="U951">
            <v>0</v>
          </cell>
          <cell r="Z951">
            <v>1</v>
          </cell>
        </row>
        <row r="952">
          <cell r="D952">
            <v>41979</v>
          </cell>
          <cell r="U952">
            <v>0</v>
          </cell>
          <cell r="Z952">
            <v>1</v>
          </cell>
        </row>
        <row r="953">
          <cell r="D953">
            <v>41979</v>
          </cell>
          <cell r="U953">
            <v>0</v>
          </cell>
          <cell r="Z953">
            <v>1</v>
          </cell>
        </row>
        <row r="954">
          <cell r="D954">
            <v>41979</v>
          </cell>
          <cell r="U954">
            <v>2</v>
          </cell>
          <cell r="Z954">
            <v>0</v>
          </cell>
        </row>
        <row r="955">
          <cell r="D955">
            <v>41979</v>
          </cell>
          <cell r="U955">
            <v>1</v>
          </cell>
          <cell r="Z955">
            <v>0</v>
          </cell>
        </row>
        <row r="956">
          <cell r="D956">
            <v>41979</v>
          </cell>
          <cell r="U956">
            <v>0</v>
          </cell>
          <cell r="Z956">
            <v>1</v>
          </cell>
        </row>
        <row r="957">
          <cell r="D957">
            <v>41979</v>
          </cell>
          <cell r="U957">
            <v>0</v>
          </cell>
          <cell r="Z957">
            <v>1</v>
          </cell>
        </row>
        <row r="958">
          <cell r="D958">
            <v>41979</v>
          </cell>
          <cell r="U958">
            <v>1</v>
          </cell>
          <cell r="Z958">
            <v>0</v>
          </cell>
        </row>
        <row r="959">
          <cell r="D959">
            <v>41979</v>
          </cell>
          <cell r="U959">
            <v>1</v>
          </cell>
          <cell r="Z959">
            <v>0</v>
          </cell>
        </row>
        <row r="960">
          <cell r="D960">
            <v>41979</v>
          </cell>
          <cell r="U960">
            <v>1</v>
          </cell>
          <cell r="Z960">
            <v>0</v>
          </cell>
        </row>
        <row r="961">
          <cell r="D961">
            <v>41979</v>
          </cell>
          <cell r="U961">
            <v>0</v>
          </cell>
          <cell r="Z961">
            <v>1</v>
          </cell>
        </row>
        <row r="962">
          <cell r="D962">
            <v>41979</v>
          </cell>
          <cell r="U962">
            <v>0</v>
          </cell>
          <cell r="Z962">
            <v>1</v>
          </cell>
        </row>
        <row r="963">
          <cell r="D963">
            <v>41979</v>
          </cell>
          <cell r="U963">
            <v>2</v>
          </cell>
          <cell r="Z963">
            <v>0</v>
          </cell>
        </row>
        <row r="964">
          <cell r="D964">
            <v>41979</v>
          </cell>
          <cell r="U964">
            <v>1</v>
          </cell>
          <cell r="Z964">
            <v>0</v>
          </cell>
        </row>
        <row r="965">
          <cell r="D965">
            <v>41979</v>
          </cell>
          <cell r="U965">
            <v>0</v>
          </cell>
          <cell r="Z965">
            <v>1</v>
          </cell>
        </row>
        <row r="966">
          <cell r="D966">
            <v>41979</v>
          </cell>
          <cell r="U966">
            <v>0</v>
          </cell>
          <cell r="Z966">
            <v>1</v>
          </cell>
        </row>
        <row r="967">
          <cell r="D967">
            <v>41979</v>
          </cell>
          <cell r="U967">
            <v>1</v>
          </cell>
          <cell r="Z967">
            <v>0</v>
          </cell>
        </row>
        <row r="968">
          <cell r="D968">
            <v>41979</v>
          </cell>
          <cell r="U968">
            <v>0</v>
          </cell>
          <cell r="Z968">
            <v>1</v>
          </cell>
        </row>
        <row r="969">
          <cell r="D969">
            <v>41979</v>
          </cell>
          <cell r="U969">
            <v>1</v>
          </cell>
          <cell r="Z969">
            <v>0</v>
          </cell>
        </row>
        <row r="970">
          <cell r="D970">
            <v>41979</v>
          </cell>
          <cell r="U970">
            <v>0</v>
          </cell>
          <cell r="Z970">
            <v>1</v>
          </cell>
        </row>
        <row r="971">
          <cell r="D971">
            <v>41979</v>
          </cell>
          <cell r="U971">
            <v>1</v>
          </cell>
          <cell r="Z971">
            <v>0</v>
          </cell>
        </row>
        <row r="972">
          <cell r="D972">
            <v>41979</v>
          </cell>
          <cell r="U972">
            <v>0</v>
          </cell>
          <cell r="Z972">
            <v>1</v>
          </cell>
        </row>
        <row r="973">
          <cell r="D973">
            <v>41979</v>
          </cell>
          <cell r="U973">
            <v>0</v>
          </cell>
          <cell r="Z973">
            <v>1</v>
          </cell>
        </row>
        <row r="974">
          <cell r="D974">
            <v>41979</v>
          </cell>
          <cell r="U974">
            <v>0</v>
          </cell>
          <cell r="Z974">
            <v>1</v>
          </cell>
        </row>
        <row r="975">
          <cell r="D975">
            <v>41979</v>
          </cell>
          <cell r="U975">
            <v>0</v>
          </cell>
          <cell r="Z975">
            <v>1</v>
          </cell>
        </row>
        <row r="976">
          <cell r="D976">
            <v>41979</v>
          </cell>
          <cell r="U976">
            <v>0</v>
          </cell>
          <cell r="Z976">
            <v>1</v>
          </cell>
        </row>
        <row r="977">
          <cell r="D977">
            <v>41979</v>
          </cell>
          <cell r="U977">
            <v>1</v>
          </cell>
          <cell r="Z977">
            <v>0</v>
          </cell>
        </row>
        <row r="978">
          <cell r="D978">
            <v>41979</v>
          </cell>
          <cell r="U978">
            <v>0</v>
          </cell>
          <cell r="Z978">
            <v>1</v>
          </cell>
        </row>
        <row r="979">
          <cell r="D979">
            <v>41979</v>
          </cell>
          <cell r="U979">
            <v>0</v>
          </cell>
          <cell r="Z979">
            <v>1</v>
          </cell>
        </row>
        <row r="980">
          <cell r="D980">
            <v>41979</v>
          </cell>
          <cell r="U980">
            <v>0</v>
          </cell>
          <cell r="Z980">
            <v>1</v>
          </cell>
        </row>
        <row r="981">
          <cell r="D981">
            <v>41979</v>
          </cell>
          <cell r="U981">
            <v>0</v>
          </cell>
          <cell r="Z981">
            <v>1</v>
          </cell>
        </row>
        <row r="982">
          <cell r="D982">
            <v>41979</v>
          </cell>
          <cell r="U982">
            <v>0</v>
          </cell>
          <cell r="Z982">
            <v>1</v>
          </cell>
        </row>
        <row r="983">
          <cell r="D983">
            <v>41979</v>
          </cell>
          <cell r="U983">
            <v>0</v>
          </cell>
          <cell r="Z983">
            <v>1</v>
          </cell>
        </row>
        <row r="984">
          <cell r="D984">
            <v>41979</v>
          </cell>
          <cell r="U984">
            <v>2</v>
          </cell>
          <cell r="Z984">
            <v>0</v>
          </cell>
        </row>
        <row r="985">
          <cell r="D985">
            <v>41979</v>
          </cell>
          <cell r="U985">
            <v>0</v>
          </cell>
          <cell r="Z985">
            <v>1</v>
          </cell>
        </row>
        <row r="986">
          <cell r="D986">
            <v>41979</v>
          </cell>
          <cell r="U986">
            <v>0</v>
          </cell>
          <cell r="Z986">
            <v>1</v>
          </cell>
        </row>
        <row r="987">
          <cell r="D987">
            <v>41979</v>
          </cell>
          <cell r="U987">
            <v>0</v>
          </cell>
          <cell r="Z987">
            <v>1</v>
          </cell>
        </row>
        <row r="988">
          <cell r="D988">
            <v>41979</v>
          </cell>
          <cell r="U988">
            <v>0</v>
          </cell>
          <cell r="Z988">
            <v>1</v>
          </cell>
        </row>
        <row r="989">
          <cell r="D989">
            <v>41979</v>
          </cell>
          <cell r="U989">
            <v>1</v>
          </cell>
          <cell r="Z989">
            <v>0</v>
          </cell>
        </row>
        <row r="990">
          <cell r="D990">
            <v>41979</v>
          </cell>
          <cell r="U990">
            <v>3</v>
          </cell>
          <cell r="Z990">
            <v>0</v>
          </cell>
        </row>
        <row r="991">
          <cell r="D991">
            <v>41979</v>
          </cell>
          <cell r="U991">
            <v>0</v>
          </cell>
          <cell r="Z991">
            <v>1</v>
          </cell>
        </row>
        <row r="992">
          <cell r="D992">
            <v>41979</v>
          </cell>
          <cell r="U992">
            <v>0</v>
          </cell>
          <cell r="Z992">
            <v>1</v>
          </cell>
        </row>
        <row r="993">
          <cell r="D993">
            <v>41979</v>
          </cell>
          <cell r="U993">
            <v>0</v>
          </cell>
          <cell r="Z993">
            <v>1</v>
          </cell>
        </row>
        <row r="994">
          <cell r="D994">
            <v>41979</v>
          </cell>
          <cell r="U994">
            <v>3</v>
          </cell>
          <cell r="Z994">
            <v>0</v>
          </cell>
        </row>
        <row r="995">
          <cell r="D995">
            <v>41979</v>
          </cell>
          <cell r="U995">
            <v>0</v>
          </cell>
          <cell r="Z995">
            <v>1</v>
          </cell>
        </row>
        <row r="996">
          <cell r="D996">
            <v>41979</v>
          </cell>
          <cell r="U996">
            <v>2</v>
          </cell>
          <cell r="Z996">
            <v>0</v>
          </cell>
        </row>
        <row r="997">
          <cell r="D997">
            <v>41979</v>
          </cell>
          <cell r="U997">
            <v>0</v>
          </cell>
          <cell r="Z997">
            <v>1</v>
          </cell>
        </row>
        <row r="998">
          <cell r="D998">
            <v>41979</v>
          </cell>
          <cell r="U998">
            <v>0</v>
          </cell>
          <cell r="Z998">
            <v>1</v>
          </cell>
        </row>
        <row r="999">
          <cell r="D999">
            <v>41979</v>
          </cell>
          <cell r="U999">
            <v>1</v>
          </cell>
          <cell r="Z999">
            <v>0</v>
          </cell>
        </row>
        <row r="1000">
          <cell r="D1000">
            <v>41979</v>
          </cell>
          <cell r="U1000">
            <v>2</v>
          </cell>
          <cell r="Z1000">
            <v>0</v>
          </cell>
        </row>
        <row r="1001">
          <cell r="D1001">
            <v>41979</v>
          </cell>
          <cell r="U1001">
            <v>0</v>
          </cell>
          <cell r="Z1001">
            <v>1</v>
          </cell>
        </row>
        <row r="1002">
          <cell r="D1002">
            <v>41979</v>
          </cell>
          <cell r="U1002">
            <v>0</v>
          </cell>
          <cell r="Z1002">
            <v>1</v>
          </cell>
        </row>
        <row r="1003">
          <cell r="D1003">
            <v>41979</v>
          </cell>
          <cell r="U1003">
            <v>2</v>
          </cell>
          <cell r="Z1003">
            <v>0</v>
          </cell>
        </row>
        <row r="1004">
          <cell r="D1004">
            <v>41979</v>
          </cell>
          <cell r="U1004">
            <v>0</v>
          </cell>
          <cell r="Z1004">
            <v>1</v>
          </cell>
        </row>
        <row r="1005">
          <cell r="D1005">
            <v>41979</v>
          </cell>
          <cell r="U1005">
            <v>0</v>
          </cell>
          <cell r="Z1005">
            <v>1</v>
          </cell>
        </row>
        <row r="1006">
          <cell r="D1006">
            <v>41979</v>
          </cell>
          <cell r="U1006">
            <v>0</v>
          </cell>
          <cell r="Z1006">
            <v>1</v>
          </cell>
        </row>
        <row r="1007">
          <cell r="D1007">
            <v>41979</v>
          </cell>
          <cell r="U1007">
            <v>2</v>
          </cell>
          <cell r="Z1007">
            <v>0</v>
          </cell>
        </row>
        <row r="1008">
          <cell r="D1008">
            <v>41979</v>
          </cell>
          <cell r="U1008">
            <v>2</v>
          </cell>
          <cell r="Z1008">
            <v>0</v>
          </cell>
        </row>
        <row r="1009">
          <cell r="D1009">
            <v>41979</v>
          </cell>
          <cell r="U1009">
            <v>2</v>
          </cell>
          <cell r="Z1009">
            <v>0</v>
          </cell>
        </row>
        <row r="1010">
          <cell r="D1010">
            <v>41979</v>
          </cell>
          <cell r="U1010">
            <v>0</v>
          </cell>
          <cell r="Z1010">
            <v>1</v>
          </cell>
        </row>
        <row r="1011">
          <cell r="D1011">
            <v>41979</v>
          </cell>
          <cell r="U1011">
            <v>0</v>
          </cell>
          <cell r="Z1011">
            <v>1</v>
          </cell>
        </row>
        <row r="1012">
          <cell r="D1012">
            <v>41979</v>
          </cell>
          <cell r="U1012">
            <v>1</v>
          </cell>
          <cell r="Z1012">
            <v>0</v>
          </cell>
        </row>
        <row r="1013">
          <cell r="D1013">
            <v>41979</v>
          </cell>
          <cell r="U1013">
            <v>2</v>
          </cell>
          <cell r="Z1013">
            <v>0</v>
          </cell>
        </row>
        <row r="1014">
          <cell r="D1014">
            <v>41979</v>
          </cell>
          <cell r="U1014">
            <v>0</v>
          </cell>
          <cell r="Z1014">
            <v>1</v>
          </cell>
        </row>
        <row r="1015">
          <cell r="D1015">
            <v>41979</v>
          </cell>
          <cell r="U1015">
            <v>1</v>
          </cell>
          <cell r="Z1015">
            <v>0</v>
          </cell>
        </row>
        <row r="1016">
          <cell r="D1016">
            <v>41979</v>
          </cell>
          <cell r="U1016">
            <v>1</v>
          </cell>
          <cell r="Z1016">
            <v>0</v>
          </cell>
        </row>
        <row r="1017">
          <cell r="D1017">
            <v>41979</v>
          </cell>
          <cell r="U1017">
            <v>0</v>
          </cell>
          <cell r="Z1017">
            <v>1</v>
          </cell>
        </row>
        <row r="1018">
          <cell r="D1018">
            <v>41979</v>
          </cell>
          <cell r="U1018">
            <v>3</v>
          </cell>
          <cell r="Z1018">
            <v>0</v>
          </cell>
        </row>
        <row r="1019">
          <cell r="D1019">
            <v>41979</v>
          </cell>
          <cell r="U1019">
            <v>2</v>
          </cell>
          <cell r="Z1019">
            <v>0</v>
          </cell>
        </row>
        <row r="1020">
          <cell r="D1020">
            <v>41979</v>
          </cell>
          <cell r="U1020">
            <v>0</v>
          </cell>
          <cell r="Z1020">
            <v>1</v>
          </cell>
        </row>
        <row r="1021">
          <cell r="D1021">
            <v>41979</v>
          </cell>
          <cell r="U1021">
            <v>3</v>
          </cell>
          <cell r="Z1021">
            <v>0</v>
          </cell>
        </row>
        <row r="1022">
          <cell r="D1022">
            <v>41979</v>
          </cell>
          <cell r="U1022">
            <v>3</v>
          </cell>
          <cell r="Z1022">
            <v>0</v>
          </cell>
        </row>
        <row r="1023">
          <cell r="D1023">
            <v>41979</v>
          </cell>
          <cell r="U1023">
            <v>0</v>
          </cell>
          <cell r="Z1023">
            <v>1</v>
          </cell>
        </row>
        <row r="1024">
          <cell r="D1024">
            <v>41979</v>
          </cell>
          <cell r="U1024">
            <v>1</v>
          </cell>
          <cell r="Z1024">
            <v>0</v>
          </cell>
        </row>
        <row r="1025">
          <cell r="D1025">
            <v>41979</v>
          </cell>
          <cell r="U1025">
            <v>2</v>
          </cell>
          <cell r="Z1025">
            <v>0</v>
          </cell>
        </row>
        <row r="1026">
          <cell r="D1026">
            <v>41979</v>
          </cell>
          <cell r="U1026">
            <v>2</v>
          </cell>
          <cell r="Z1026">
            <v>0</v>
          </cell>
        </row>
        <row r="1027">
          <cell r="D1027">
            <v>41979</v>
          </cell>
          <cell r="U1027">
            <v>1</v>
          </cell>
          <cell r="Z1027">
            <v>0</v>
          </cell>
        </row>
        <row r="1028">
          <cell r="D1028">
            <v>41979</v>
          </cell>
          <cell r="U1028">
            <v>0</v>
          </cell>
          <cell r="Z1028">
            <v>1</v>
          </cell>
        </row>
        <row r="1029">
          <cell r="D1029">
            <v>41979</v>
          </cell>
          <cell r="U1029">
            <v>0</v>
          </cell>
          <cell r="Z1029">
            <v>1</v>
          </cell>
        </row>
        <row r="1030">
          <cell r="D1030">
            <v>41979</v>
          </cell>
          <cell r="U1030">
            <v>3</v>
          </cell>
          <cell r="Z1030">
            <v>0</v>
          </cell>
        </row>
        <row r="1031">
          <cell r="D1031">
            <v>41979</v>
          </cell>
          <cell r="U1031">
            <v>3</v>
          </cell>
          <cell r="Z1031">
            <v>0</v>
          </cell>
        </row>
        <row r="1032">
          <cell r="D1032">
            <v>41979</v>
          </cell>
          <cell r="U1032">
            <v>1</v>
          </cell>
          <cell r="Z1032">
            <v>0</v>
          </cell>
        </row>
        <row r="1033">
          <cell r="D1033">
            <v>41979</v>
          </cell>
          <cell r="U1033">
            <v>2</v>
          </cell>
          <cell r="Z1033">
            <v>0</v>
          </cell>
        </row>
        <row r="1034">
          <cell r="D1034">
            <v>41979</v>
          </cell>
          <cell r="U1034">
            <v>0</v>
          </cell>
          <cell r="Z1034">
            <v>1</v>
          </cell>
        </row>
        <row r="1035">
          <cell r="D1035">
            <v>41979</v>
          </cell>
          <cell r="U1035">
            <v>2</v>
          </cell>
          <cell r="Z1035">
            <v>0</v>
          </cell>
        </row>
        <row r="1036">
          <cell r="D1036">
            <v>41979</v>
          </cell>
          <cell r="U1036">
            <v>0</v>
          </cell>
          <cell r="Z1036">
            <v>1</v>
          </cell>
        </row>
        <row r="1037">
          <cell r="D1037">
            <v>41979</v>
          </cell>
          <cell r="U1037">
            <v>0</v>
          </cell>
          <cell r="Z1037">
            <v>1</v>
          </cell>
        </row>
        <row r="1038">
          <cell r="D1038">
            <v>41979</v>
          </cell>
          <cell r="U1038">
            <v>1</v>
          </cell>
          <cell r="Z1038">
            <v>0</v>
          </cell>
        </row>
        <row r="1039">
          <cell r="D1039">
            <v>41979</v>
          </cell>
          <cell r="U1039">
            <v>3</v>
          </cell>
          <cell r="Z1039">
            <v>0</v>
          </cell>
        </row>
        <row r="1040">
          <cell r="D1040">
            <v>41979</v>
          </cell>
          <cell r="U1040">
            <v>3</v>
          </cell>
          <cell r="Z1040">
            <v>0</v>
          </cell>
        </row>
        <row r="1041">
          <cell r="D1041">
            <v>41979</v>
          </cell>
          <cell r="U1041">
            <v>3</v>
          </cell>
          <cell r="Z1041">
            <v>0</v>
          </cell>
        </row>
        <row r="1042">
          <cell r="D1042">
            <v>41979</v>
          </cell>
          <cell r="U1042">
            <v>0</v>
          </cell>
          <cell r="Z1042">
            <v>1</v>
          </cell>
        </row>
        <row r="1043">
          <cell r="D1043">
            <v>41979</v>
          </cell>
          <cell r="U1043">
            <v>1</v>
          </cell>
          <cell r="Z1043">
            <v>0</v>
          </cell>
        </row>
        <row r="1044">
          <cell r="D1044">
            <v>41979</v>
          </cell>
          <cell r="U1044">
            <v>3</v>
          </cell>
          <cell r="Z1044">
            <v>0</v>
          </cell>
        </row>
        <row r="1045">
          <cell r="D1045">
            <v>41979</v>
          </cell>
          <cell r="U1045">
            <v>0</v>
          </cell>
          <cell r="Z1045">
            <v>1</v>
          </cell>
        </row>
        <row r="1046">
          <cell r="D1046">
            <v>41979</v>
          </cell>
          <cell r="U1046">
            <v>0</v>
          </cell>
          <cell r="Z1046">
            <v>1</v>
          </cell>
        </row>
        <row r="1047">
          <cell r="D1047">
            <v>41979</v>
          </cell>
          <cell r="U1047">
            <v>0</v>
          </cell>
          <cell r="Z1047">
            <v>1</v>
          </cell>
        </row>
        <row r="1048">
          <cell r="D1048">
            <v>41979</v>
          </cell>
          <cell r="U1048">
            <v>0</v>
          </cell>
          <cell r="Z1048">
            <v>1</v>
          </cell>
        </row>
        <row r="1049">
          <cell r="D1049">
            <v>41979</v>
          </cell>
          <cell r="U1049">
            <v>0</v>
          </cell>
          <cell r="Z1049">
            <v>1</v>
          </cell>
        </row>
        <row r="1050">
          <cell r="D1050">
            <v>41979</v>
          </cell>
          <cell r="U1050">
            <v>0</v>
          </cell>
          <cell r="Z1050">
            <v>1</v>
          </cell>
        </row>
        <row r="1051">
          <cell r="D1051">
            <v>41979</v>
          </cell>
          <cell r="U1051">
            <v>0</v>
          </cell>
          <cell r="Z1051">
            <v>1</v>
          </cell>
        </row>
        <row r="1052">
          <cell r="D1052">
            <v>41979</v>
          </cell>
          <cell r="U1052">
            <v>0</v>
          </cell>
          <cell r="Z1052">
            <v>1</v>
          </cell>
        </row>
        <row r="1053">
          <cell r="D1053">
            <v>41979</v>
          </cell>
          <cell r="U1053">
            <v>3</v>
          </cell>
          <cell r="Z1053">
            <v>0</v>
          </cell>
        </row>
        <row r="1054">
          <cell r="D1054">
            <v>41979</v>
          </cell>
          <cell r="U1054">
            <v>1</v>
          </cell>
          <cell r="Z1054">
            <v>0</v>
          </cell>
        </row>
        <row r="1055">
          <cell r="D1055">
            <v>41979</v>
          </cell>
          <cell r="U1055">
            <v>0</v>
          </cell>
          <cell r="Z1055">
            <v>1</v>
          </cell>
        </row>
        <row r="1056">
          <cell r="D1056">
            <v>41979</v>
          </cell>
          <cell r="U1056">
            <v>1</v>
          </cell>
          <cell r="Z1056">
            <v>0</v>
          </cell>
        </row>
        <row r="1057">
          <cell r="D1057">
            <v>41979</v>
          </cell>
          <cell r="U1057">
            <v>1</v>
          </cell>
          <cell r="Z1057">
            <v>0</v>
          </cell>
        </row>
        <row r="1058">
          <cell r="D1058">
            <v>41979</v>
          </cell>
          <cell r="U1058">
            <v>3</v>
          </cell>
          <cell r="Z1058">
            <v>0</v>
          </cell>
        </row>
        <row r="1059">
          <cell r="D1059">
            <v>41979</v>
          </cell>
          <cell r="U1059">
            <v>1</v>
          </cell>
          <cell r="Z1059">
            <v>0</v>
          </cell>
        </row>
        <row r="1060">
          <cell r="D1060">
            <v>41979</v>
          </cell>
          <cell r="U1060">
            <v>2</v>
          </cell>
          <cell r="Z1060">
            <v>0</v>
          </cell>
        </row>
        <row r="1061">
          <cell r="D1061">
            <v>41979</v>
          </cell>
          <cell r="U1061">
            <v>0</v>
          </cell>
          <cell r="Z1061">
            <v>1</v>
          </cell>
        </row>
        <row r="1062">
          <cell r="D1062">
            <v>41979</v>
          </cell>
          <cell r="U1062">
            <v>1</v>
          </cell>
          <cell r="Z1062">
            <v>0</v>
          </cell>
        </row>
        <row r="1063">
          <cell r="D1063">
            <v>41979</v>
          </cell>
          <cell r="U1063">
            <v>0</v>
          </cell>
          <cell r="Z1063">
            <v>1</v>
          </cell>
        </row>
        <row r="1064">
          <cell r="D1064">
            <v>41979</v>
          </cell>
          <cell r="U1064">
            <v>1</v>
          </cell>
          <cell r="Z1064">
            <v>0</v>
          </cell>
        </row>
        <row r="1065">
          <cell r="D1065">
            <v>41979</v>
          </cell>
          <cell r="U1065">
            <v>0</v>
          </cell>
          <cell r="Z1065">
            <v>1</v>
          </cell>
        </row>
        <row r="1066">
          <cell r="D1066">
            <v>41979</v>
          </cell>
          <cell r="U1066">
            <v>0</v>
          </cell>
          <cell r="Z1066">
            <v>1</v>
          </cell>
        </row>
        <row r="1067">
          <cell r="D1067">
            <v>41979</v>
          </cell>
          <cell r="U1067">
            <v>0</v>
          </cell>
          <cell r="Z1067">
            <v>1</v>
          </cell>
        </row>
        <row r="1068">
          <cell r="D1068">
            <v>41979</v>
          </cell>
          <cell r="U1068">
            <v>3</v>
          </cell>
          <cell r="Z1068">
            <v>0</v>
          </cell>
        </row>
        <row r="1069">
          <cell r="D1069">
            <v>41979</v>
          </cell>
          <cell r="U1069">
            <v>1</v>
          </cell>
          <cell r="Z1069">
            <v>0</v>
          </cell>
        </row>
        <row r="1070">
          <cell r="D1070">
            <v>41979</v>
          </cell>
          <cell r="U1070">
            <v>2</v>
          </cell>
          <cell r="Z1070">
            <v>0</v>
          </cell>
        </row>
        <row r="1071">
          <cell r="D1071">
            <v>41979</v>
          </cell>
          <cell r="U1071">
            <v>0</v>
          </cell>
          <cell r="Z1071">
            <v>1</v>
          </cell>
        </row>
        <row r="1072">
          <cell r="D1072">
            <v>41979</v>
          </cell>
          <cell r="U1072">
            <v>3</v>
          </cell>
          <cell r="Z1072">
            <v>0</v>
          </cell>
        </row>
        <row r="1073">
          <cell r="D1073">
            <v>41979</v>
          </cell>
          <cell r="U1073">
            <v>0</v>
          </cell>
          <cell r="Z1073">
            <v>1</v>
          </cell>
        </row>
        <row r="1074">
          <cell r="D1074">
            <v>41979</v>
          </cell>
          <cell r="U1074">
            <v>0</v>
          </cell>
          <cell r="Z1074">
            <v>1</v>
          </cell>
        </row>
        <row r="1075">
          <cell r="D1075">
            <v>41979</v>
          </cell>
          <cell r="U1075">
            <v>3</v>
          </cell>
          <cell r="Z1075">
            <v>0</v>
          </cell>
        </row>
        <row r="1076">
          <cell r="D1076">
            <v>41979</v>
          </cell>
          <cell r="U1076">
            <v>0</v>
          </cell>
          <cell r="Z1076">
            <v>1</v>
          </cell>
        </row>
        <row r="1077">
          <cell r="D1077">
            <v>41980</v>
          </cell>
          <cell r="U1077">
            <v>0</v>
          </cell>
          <cell r="Z1077">
            <v>1</v>
          </cell>
        </row>
        <row r="1078">
          <cell r="D1078">
            <v>41980</v>
          </cell>
          <cell r="U1078">
            <v>0</v>
          </cell>
          <cell r="Z1078">
            <v>1</v>
          </cell>
        </row>
        <row r="1079">
          <cell r="D1079">
            <v>41980</v>
          </cell>
          <cell r="U1079">
            <v>0</v>
          </cell>
          <cell r="Z1079">
            <v>1</v>
          </cell>
        </row>
        <row r="1080">
          <cell r="D1080">
            <v>41980</v>
          </cell>
          <cell r="U1080">
            <v>0</v>
          </cell>
          <cell r="Z1080">
            <v>1</v>
          </cell>
        </row>
        <row r="1081">
          <cell r="D1081">
            <v>41980</v>
          </cell>
          <cell r="U1081">
            <v>2</v>
          </cell>
          <cell r="Z1081">
            <v>0</v>
          </cell>
        </row>
        <row r="1082">
          <cell r="D1082">
            <v>41980</v>
          </cell>
          <cell r="U1082">
            <v>3</v>
          </cell>
          <cell r="Z1082">
            <v>0</v>
          </cell>
        </row>
        <row r="1083">
          <cell r="D1083">
            <v>41980</v>
          </cell>
          <cell r="U1083">
            <v>0</v>
          </cell>
          <cell r="Z1083">
            <v>1</v>
          </cell>
        </row>
        <row r="1084">
          <cell r="D1084">
            <v>41980</v>
          </cell>
          <cell r="U1084">
            <v>0</v>
          </cell>
          <cell r="Z1084">
            <v>1</v>
          </cell>
        </row>
        <row r="1085">
          <cell r="D1085">
            <v>41980</v>
          </cell>
          <cell r="U1085">
            <v>0</v>
          </cell>
          <cell r="Z1085">
            <v>1</v>
          </cell>
        </row>
        <row r="1086">
          <cell r="D1086">
            <v>41980</v>
          </cell>
          <cell r="U1086">
            <v>3</v>
          </cell>
          <cell r="Z1086">
            <v>0</v>
          </cell>
        </row>
        <row r="1087">
          <cell r="D1087">
            <v>41980</v>
          </cell>
          <cell r="U1087">
            <v>0</v>
          </cell>
          <cell r="Z1087">
            <v>1</v>
          </cell>
        </row>
        <row r="1088">
          <cell r="D1088">
            <v>41980</v>
          </cell>
          <cell r="U1088">
            <v>0</v>
          </cell>
          <cell r="Z1088">
            <v>1</v>
          </cell>
        </row>
        <row r="1089">
          <cell r="D1089">
            <v>41980</v>
          </cell>
          <cell r="U1089">
            <v>0</v>
          </cell>
          <cell r="Z1089">
            <v>1</v>
          </cell>
        </row>
        <row r="1090">
          <cell r="D1090">
            <v>41980</v>
          </cell>
          <cell r="U1090">
            <v>0</v>
          </cell>
          <cell r="Z1090">
            <v>1</v>
          </cell>
        </row>
        <row r="1091">
          <cell r="D1091">
            <v>41980</v>
          </cell>
          <cell r="U1091">
            <v>0</v>
          </cell>
          <cell r="Z1091">
            <v>1</v>
          </cell>
        </row>
        <row r="1092">
          <cell r="D1092">
            <v>41980</v>
          </cell>
          <cell r="U1092">
            <v>2</v>
          </cell>
          <cell r="Z1092">
            <v>0</v>
          </cell>
        </row>
        <row r="1093">
          <cell r="D1093">
            <v>41980</v>
          </cell>
          <cell r="U1093">
            <v>2</v>
          </cell>
          <cell r="Z1093">
            <v>0</v>
          </cell>
        </row>
        <row r="1094">
          <cell r="D1094">
            <v>41980</v>
          </cell>
          <cell r="U1094">
            <v>0</v>
          </cell>
          <cell r="Z1094">
            <v>1</v>
          </cell>
        </row>
        <row r="1095">
          <cell r="D1095">
            <v>41980</v>
          </cell>
          <cell r="U1095">
            <v>3</v>
          </cell>
          <cell r="Z1095">
            <v>0</v>
          </cell>
        </row>
        <row r="1096">
          <cell r="D1096">
            <v>41980</v>
          </cell>
          <cell r="U1096">
            <v>3</v>
          </cell>
          <cell r="Z1096">
            <v>0</v>
          </cell>
        </row>
        <row r="1097">
          <cell r="D1097">
            <v>41980</v>
          </cell>
          <cell r="U1097">
            <v>0</v>
          </cell>
          <cell r="Z1097">
            <v>1</v>
          </cell>
        </row>
        <row r="1098">
          <cell r="D1098">
            <v>41980</v>
          </cell>
          <cell r="U1098">
            <v>0</v>
          </cell>
          <cell r="Z1098">
            <v>1</v>
          </cell>
        </row>
        <row r="1099">
          <cell r="D1099">
            <v>41980</v>
          </cell>
          <cell r="U1099">
            <v>0</v>
          </cell>
          <cell r="Z1099">
            <v>1</v>
          </cell>
        </row>
        <row r="1100">
          <cell r="D1100">
            <v>41980</v>
          </cell>
          <cell r="U1100">
            <v>1</v>
          </cell>
          <cell r="Z1100">
            <v>0</v>
          </cell>
        </row>
        <row r="1101">
          <cell r="D1101">
            <v>41980</v>
          </cell>
          <cell r="U1101">
            <v>2</v>
          </cell>
          <cell r="Z1101">
            <v>0</v>
          </cell>
        </row>
        <row r="1102">
          <cell r="D1102">
            <v>41980</v>
          </cell>
          <cell r="U1102">
            <v>0</v>
          </cell>
          <cell r="Z1102">
            <v>1</v>
          </cell>
        </row>
        <row r="1103">
          <cell r="D1103">
            <v>41980</v>
          </cell>
          <cell r="U1103">
            <v>0</v>
          </cell>
          <cell r="Z1103">
            <v>1</v>
          </cell>
        </row>
        <row r="1104">
          <cell r="D1104">
            <v>41980</v>
          </cell>
          <cell r="U1104">
            <v>0</v>
          </cell>
          <cell r="Z1104">
            <v>1</v>
          </cell>
        </row>
        <row r="1105">
          <cell r="D1105">
            <v>41980</v>
          </cell>
          <cell r="U1105">
            <v>3</v>
          </cell>
          <cell r="Z1105">
            <v>0</v>
          </cell>
        </row>
        <row r="1106">
          <cell r="D1106">
            <v>41980</v>
          </cell>
          <cell r="U1106">
            <v>0</v>
          </cell>
          <cell r="Z1106">
            <v>1</v>
          </cell>
        </row>
        <row r="1107">
          <cell r="D1107">
            <v>41980</v>
          </cell>
          <cell r="U1107">
            <v>0</v>
          </cell>
          <cell r="Z1107">
            <v>1</v>
          </cell>
        </row>
        <row r="1108">
          <cell r="D1108">
            <v>41980</v>
          </cell>
          <cell r="U1108">
            <v>0</v>
          </cell>
          <cell r="Z1108">
            <v>1</v>
          </cell>
        </row>
        <row r="1109">
          <cell r="D1109">
            <v>41980</v>
          </cell>
          <cell r="U1109">
            <v>3</v>
          </cell>
          <cell r="Z1109">
            <v>0</v>
          </cell>
        </row>
        <row r="1110">
          <cell r="D1110">
            <v>41980</v>
          </cell>
          <cell r="U1110">
            <v>0</v>
          </cell>
          <cell r="Z1110">
            <v>1</v>
          </cell>
        </row>
        <row r="1111">
          <cell r="D1111">
            <v>41980</v>
          </cell>
          <cell r="U1111">
            <v>0</v>
          </cell>
          <cell r="Z1111">
            <v>1</v>
          </cell>
        </row>
        <row r="1112">
          <cell r="D1112">
            <v>41980</v>
          </cell>
          <cell r="U1112">
            <v>3</v>
          </cell>
          <cell r="Z1112">
            <v>0</v>
          </cell>
        </row>
        <row r="1113">
          <cell r="D1113">
            <v>41980</v>
          </cell>
          <cell r="U1113">
            <v>0</v>
          </cell>
          <cell r="Z1113">
            <v>1</v>
          </cell>
        </row>
        <row r="1114">
          <cell r="D1114">
            <v>41980</v>
          </cell>
          <cell r="U1114">
            <v>2</v>
          </cell>
          <cell r="Z1114">
            <v>0</v>
          </cell>
        </row>
        <row r="1115">
          <cell r="D1115">
            <v>41980</v>
          </cell>
          <cell r="U1115">
            <v>0</v>
          </cell>
          <cell r="Z1115">
            <v>1</v>
          </cell>
        </row>
        <row r="1116">
          <cell r="D1116">
            <v>41980</v>
          </cell>
          <cell r="U1116">
            <v>2</v>
          </cell>
          <cell r="Z1116">
            <v>0</v>
          </cell>
        </row>
        <row r="1117">
          <cell r="D1117">
            <v>41980</v>
          </cell>
          <cell r="U1117">
            <v>0</v>
          </cell>
          <cell r="Z1117">
            <v>1</v>
          </cell>
        </row>
        <row r="1118">
          <cell r="D1118">
            <v>41980</v>
          </cell>
          <cell r="U1118">
            <v>0</v>
          </cell>
          <cell r="Z1118">
            <v>1</v>
          </cell>
        </row>
        <row r="1119">
          <cell r="D1119">
            <v>41980</v>
          </cell>
          <cell r="U1119">
            <v>0</v>
          </cell>
          <cell r="Z1119">
            <v>1</v>
          </cell>
        </row>
        <row r="1120">
          <cell r="D1120">
            <v>41980</v>
          </cell>
          <cell r="U1120">
            <v>3</v>
          </cell>
          <cell r="Z1120">
            <v>0</v>
          </cell>
        </row>
        <row r="1121">
          <cell r="D1121">
            <v>41980</v>
          </cell>
          <cell r="U1121">
            <v>0</v>
          </cell>
          <cell r="Z1121">
            <v>1</v>
          </cell>
        </row>
        <row r="1122">
          <cell r="D1122">
            <v>41980</v>
          </cell>
          <cell r="U1122">
            <v>0</v>
          </cell>
          <cell r="Z1122">
            <v>1</v>
          </cell>
        </row>
        <row r="1123">
          <cell r="D1123">
            <v>41980</v>
          </cell>
          <cell r="U1123">
            <v>0</v>
          </cell>
          <cell r="Z1123">
            <v>1</v>
          </cell>
        </row>
        <row r="1124">
          <cell r="D1124">
            <v>41980</v>
          </cell>
          <cell r="U1124">
            <v>0</v>
          </cell>
          <cell r="Z1124">
            <v>1</v>
          </cell>
        </row>
        <row r="1125">
          <cell r="D1125">
            <v>41980</v>
          </cell>
          <cell r="U1125">
            <v>1</v>
          </cell>
          <cell r="Z1125">
            <v>0</v>
          </cell>
        </row>
        <row r="1126">
          <cell r="D1126">
            <v>41980</v>
          </cell>
          <cell r="U1126">
            <v>0</v>
          </cell>
          <cell r="Z1126">
            <v>1</v>
          </cell>
        </row>
        <row r="1127">
          <cell r="D1127">
            <v>41980</v>
          </cell>
          <cell r="U1127">
            <v>0</v>
          </cell>
          <cell r="Z1127">
            <v>1</v>
          </cell>
        </row>
        <row r="1128">
          <cell r="D1128">
            <v>41980</v>
          </cell>
          <cell r="U1128">
            <v>0</v>
          </cell>
          <cell r="Z1128">
            <v>1</v>
          </cell>
        </row>
        <row r="1129">
          <cell r="D1129">
            <v>41980</v>
          </cell>
          <cell r="U1129">
            <v>0</v>
          </cell>
          <cell r="Z1129">
            <v>1</v>
          </cell>
        </row>
        <row r="1130">
          <cell r="D1130">
            <v>41980</v>
          </cell>
          <cell r="U1130">
            <v>3</v>
          </cell>
          <cell r="Z1130">
            <v>0</v>
          </cell>
        </row>
        <row r="1131">
          <cell r="D1131">
            <v>41980</v>
          </cell>
          <cell r="U1131">
            <v>0</v>
          </cell>
          <cell r="Z1131">
            <v>1</v>
          </cell>
        </row>
        <row r="1132">
          <cell r="D1132">
            <v>41980</v>
          </cell>
          <cell r="U1132">
            <v>1</v>
          </cell>
          <cell r="Z1132">
            <v>0</v>
          </cell>
        </row>
        <row r="1133">
          <cell r="D1133">
            <v>41980</v>
          </cell>
          <cell r="U1133">
            <v>0</v>
          </cell>
          <cell r="Z1133">
            <v>1</v>
          </cell>
        </row>
        <row r="1134">
          <cell r="D1134">
            <v>41980</v>
          </cell>
          <cell r="U1134">
            <v>0</v>
          </cell>
          <cell r="Z1134">
            <v>1</v>
          </cell>
        </row>
        <row r="1135">
          <cell r="D1135">
            <v>41980</v>
          </cell>
          <cell r="U1135">
            <v>2</v>
          </cell>
          <cell r="Z1135">
            <v>0</v>
          </cell>
        </row>
        <row r="1136">
          <cell r="D1136">
            <v>41980</v>
          </cell>
          <cell r="U1136">
            <v>0</v>
          </cell>
          <cell r="Z1136">
            <v>1</v>
          </cell>
        </row>
        <row r="1137">
          <cell r="D1137">
            <v>41980</v>
          </cell>
          <cell r="U1137">
            <v>0</v>
          </cell>
          <cell r="Z1137">
            <v>1</v>
          </cell>
        </row>
        <row r="1138">
          <cell r="D1138">
            <v>41980</v>
          </cell>
          <cell r="U1138">
            <v>0</v>
          </cell>
          <cell r="Z1138">
            <v>1</v>
          </cell>
        </row>
        <row r="1139">
          <cell r="D1139">
            <v>41980</v>
          </cell>
          <cell r="U1139">
            <v>0</v>
          </cell>
          <cell r="Z1139">
            <v>1</v>
          </cell>
        </row>
        <row r="1140">
          <cell r="D1140">
            <v>41980</v>
          </cell>
          <cell r="U1140">
            <v>0</v>
          </cell>
          <cell r="Z1140">
            <v>1</v>
          </cell>
        </row>
        <row r="1141">
          <cell r="D1141">
            <v>41980</v>
          </cell>
          <cell r="U1141">
            <v>0</v>
          </cell>
          <cell r="Z1141">
            <v>1</v>
          </cell>
        </row>
        <row r="1142">
          <cell r="D1142">
            <v>41980</v>
          </cell>
          <cell r="U1142">
            <v>0</v>
          </cell>
          <cell r="Z1142">
            <v>1</v>
          </cell>
        </row>
        <row r="1143">
          <cell r="D1143">
            <v>41980</v>
          </cell>
          <cell r="U1143">
            <v>0</v>
          </cell>
          <cell r="Z1143">
            <v>1</v>
          </cell>
        </row>
        <row r="1144">
          <cell r="D1144">
            <v>41980</v>
          </cell>
          <cell r="U1144">
            <v>0</v>
          </cell>
          <cell r="Z1144">
            <v>1</v>
          </cell>
        </row>
        <row r="1145">
          <cell r="D1145">
            <v>41980</v>
          </cell>
          <cell r="U1145">
            <v>0</v>
          </cell>
          <cell r="Z1145">
            <v>1</v>
          </cell>
        </row>
        <row r="1146">
          <cell r="D1146">
            <v>41980</v>
          </cell>
          <cell r="U1146">
            <v>2</v>
          </cell>
          <cell r="Z1146">
            <v>0</v>
          </cell>
        </row>
        <row r="1147">
          <cell r="D1147">
            <v>41980</v>
          </cell>
          <cell r="U1147">
            <v>0</v>
          </cell>
          <cell r="Z1147">
            <v>1</v>
          </cell>
        </row>
        <row r="1148">
          <cell r="D1148">
            <v>41980</v>
          </cell>
          <cell r="U1148">
            <v>2</v>
          </cell>
          <cell r="Z1148">
            <v>0</v>
          </cell>
        </row>
        <row r="1149">
          <cell r="D1149">
            <v>41980</v>
          </cell>
          <cell r="U1149">
            <v>1</v>
          </cell>
          <cell r="Z1149">
            <v>0</v>
          </cell>
        </row>
        <row r="1150">
          <cell r="D1150">
            <v>41980</v>
          </cell>
          <cell r="U1150">
            <v>0</v>
          </cell>
          <cell r="Z1150">
            <v>1</v>
          </cell>
        </row>
        <row r="1151">
          <cell r="D1151">
            <v>41980</v>
          </cell>
          <cell r="U1151">
            <v>0</v>
          </cell>
          <cell r="Z1151">
            <v>1</v>
          </cell>
        </row>
        <row r="1152">
          <cell r="D1152">
            <v>41980</v>
          </cell>
          <cell r="U1152">
            <v>0</v>
          </cell>
          <cell r="Z1152">
            <v>1</v>
          </cell>
        </row>
        <row r="1153">
          <cell r="D1153">
            <v>41980</v>
          </cell>
          <cell r="U1153">
            <v>1</v>
          </cell>
          <cell r="Z1153">
            <v>0</v>
          </cell>
        </row>
        <row r="1154">
          <cell r="D1154">
            <v>41980</v>
          </cell>
          <cell r="U1154">
            <v>0</v>
          </cell>
          <cell r="Z1154">
            <v>1</v>
          </cell>
        </row>
        <row r="1155">
          <cell r="D1155">
            <v>41980</v>
          </cell>
          <cell r="U1155">
            <v>0</v>
          </cell>
          <cell r="Z1155">
            <v>1</v>
          </cell>
        </row>
        <row r="1156">
          <cell r="D1156">
            <v>41980</v>
          </cell>
          <cell r="U1156">
            <v>1</v>
          </cell>
          <cell r="Z1156">
            <v>0</v>
          </cell>
        </row>
        <row r="1157">
          <cell r="D1157">
            <v>41980</v>
          </cell>
          <cell r="U1157">
            <v>2</v>
          </cell>
          <cell r="Z1157">
            <v>0</v>
          </cell>
        </row>
        <row r="1158">
          <cell r="D1158">
            <v>41980</v>
          </cell>
          <cell r="U1158">
            <v>0</v>
          </cell>
          <cell r="Z1158">
            <v>2</v>
          </cell>
        </row>
        <row r="1159">
          <cell r="D1159">
            <v>41980</v>
          </cell>
          <cell r="U1159">
            <v>0</v>
          </cell>
          <cell r="Z1159">
            <v>1</v>
          </cell>
        </row>
        <row r="1160">
          <cell r="D1160">
            <v>41980</v>
          </cell>
          <cell r="U1160">
            <v>0</v>
          </cell>
          <cell r="Z1160">
            <v>1</v>
          </cell>
        </row>
        <row r="1161">
          <cell r="D1161">
            <v>41980</v>
          </cell>
          <cell r="U1161">
            <v>0</v>
          </cell>
          <cell r="Z1161">
            <v>1</v>
          </cell>
        </row>
        <row r="1162">
          <cell r="D1162">
            <v>41980</v>
          </cell>
          <cell r="U1162">
            <v>1</v>
          </cell>
          <cell r="Z1162">
            <v>0</v>
          </cell>
        </row>
        <row r="1163">
          <cell r="D1163">
            <v>41980</v>
          </cell>
          <cell r="U1163">
            <v>0</v>
          </cell>
          <cell r="Z1163">
            <v>1</v>
          </cell>
        </row>
        <row r="1164">
          <cell r="D1164">
            <v>41980</v>
          </cell>
          <cell r="U1164">
            <v>0</v>
          </cell>
          <cell r="Z1164">
            <v>1</v>
          </cell>
        </row>
        <row r="1165">
          <cell r="D1165">
            <v>41980</v>
          </cell>
          <cell r="U1165">
            <v>0</v>
          </cell>
          <cell r="Z1165">
            <v>1</v>
          </cell>
        </row>
        <row r="1166">
          <cell r="D1166">
            <v>41980</v>
          </cell>
          <cell r="U1166">
            <v>0</v>
          </cell>
          <cell r="Z1166">
            <v>1</v>
          </cell>
        </row>
        <row r="1167">
          <cell r="D1167">
            <v>41980</v>
          </cell>
          <cell r="U1167">
            <v>1</v>
          </cell>
          <cell r="Z1167">
            <v>0</v>
          </cell>
        </row>
        <row r="1168">
          <cell r="D1168">
            <v>41980</v>
          </cell>
          <cell r="U1168">
            <v>1</v>
          </cell>
          <cell r="Z1168">
            <v>0</v>
          </cell>
        </row>
        <row r="1169">
          <cell r="D1169">
            <v>41980</v>
          </cell>
          <cell r="U1169">
            <v>0</v>
          </cell>
          <cell r="Z1169">
            <v>1</v>
          </cell>
        </row>
        <row r="1170">
          <cell r="D1170">
            <v>41980</v>
          </cell>
          <cell r="U1170">
            <v>3</v>
          </cell>
          <cell r="Z1170">
            <v>0</v>
          </cell>
        </row>
        <row r="1171">
          <cell r="D1171">
            <v>41980</v>
          </cell>
          <cell r="U1171">
            <v>2</v>
          </cell>
          <cell r="Z1171">
            <v>0</v>
          </cell>
        </row>
        <row r="1172">
          <cell r="D1172">
            <v>41980</v>
          </cell>
          <cell r="U1172">
            <v>0</v>
          </cell>
          <cell r="Z1172">
            <v>1</v>
          </cell>
        </row>
        <row r="1173">
          <cell r="D1173">
            <v>41980</v>
          </cell>
          <cell r="U1173">
            <v>2</v>
          </cell>
          <cell r="Z1173">
            <v>0</v>
          </cell>
        </row>
        <row r="1174">
          <cell r="D1174">
            <v>41980</v>
          </cell>
          <cell r="U1174">
            <v>0</v>
          </cell>
          <cell r="Z1174">
            <v>1</v>
          </cell>
        </row>
        <row r="1175">
          <cell r="D1175">
            <v>41980</v>
          </cell>
          <cell r="U1175">
            <v>0</v>
          </cell>
          <cell r="Z1175">
            <v>1</v>
          </cell>
        </row>
        <row r="1176">
          <cell r="D1176">
            <v>41980</v>
          </cell>
          <cell r="U1176">
            <v>0</v>
          </cell>
          <cell r="Z1176">
            <v>1</v>
          </cell>
        </row>
        <row r="1177">
          <cell r="D1177">
            <v>41980</v>
          </cell>
          <cell r="U1177">
            <v>0</v>
          </cell>
          <cell r="Z1177">
            <v>1</v>
          </cell>
        </row>
        <row r="1178">
          <cell r="D1178">
            <v>41980</v>
          </cell>
          <cell r="U1178">
            <v>1</v>
          </cell>
          <cell r="Z1178">
            <v>0</v>
          </cell>
        </row>
        <row r="1179">
          <cell r="D1179">
            <v>41980</v>
          </cell>
          <cell r="U1179">
            <v>1</v>
          </cell>
          <cell r="Z1179">
            <v>0</v>
          </cell>
        </row>
        <row r="1180">
          <cell r="D1180">
            <v>41980</v>
          </cell>
          <cell r="U1180">
            <v>0</v>
          </cell>
          <cell r="Z1180">
            <v>1</v>
          </cell>
        </row>
        <row r="1181">
          <cell r="D1181">
            <v>41980</v>
          </cell>
          <cell r="U1181">
            <v>0</v>
          </cell>
          <cell r="Z1181">
            <v>1</v>
          </cell>
        </row>
        <row r="1182">
          <cell r="D1182">
            <v>41980</v>
          </cell>
          <cell r="U1182">
            <v>0</v>
          </cell>
          <cell r="Z1182">
            <v>1</v>
          </cell>
        </row>
        <row r="1183">
          <cell r="D1183">
            <v>41980</v>
          </cell>
          <cell r="U1183">
            <v>0</v>
          </cell>
          <cell r="Z1183">
            <v>1</v>
          </cell>
        </row>
        <row r="1184">
          <cell r="D1184">
            <v>41980</v>
          </cell>
          <cell r="U1184">
            <v>0</v>
          </cell>
          <cell r="Z1184">
            <v>1</v>
          </cell>
        </row>
        <row r="1185">
          <cell r="D1185">
            <v>41980</v>
          </cell>
          <cell r="U1185">
            <v>0</v>
          </cell>
          <cell r="Z1185">
            <v>1</v>
          </cell>
        </row>
        <row r="1186">
          <cell r="D1186">
            <v>41980</v>
          </cell>
          <cell r="U1186">
            <v>0</v>
          </cell>
          <cell r="Z1186">
            <v>1</v>
          </cell>
        </row>
        <row r="1187">
          <cell r="D1187">
            <v>41980</v>
          </cell>
          <cell r="U1187">
            <v>0</v>
          </cell>
          <cell r="Z1187">
            <v>1</v>
          </cell>
        </row>
        <row r="1188">
          <cell r="D1188">
            <v>41980</v>
          </cell>
          <cell r="U1188">
            <v>0</v>
          </cell>
          <cell r="Z1188">
            <v>1</v>
          </cell>
        </row>
        <row r="1189">
          <cell r="D1189">
            <v>41980</v>
          </cell>
          <cell r="U1189">
            <v>0</v>
          </cell>
          <cell r="Z1189">
            <v>1</v>
          </cell>
        </row>
        <row r="1190">
          <cell r="D1190">
            <v>41980</v>
          </cell>
          <cell r="U1190">
            <v>0</v>
          </cell>
          <cell r="Z1190">
            <v>1</v>
          </cell>
        </row>
        <row r="1191">
          <cell r="D1191">
            <v>41980</v>
          </cell>
          <cell r="U1191">
            <v>0</v>
          </cell>
          <cell r="Z1191">
            <v>1</v>
          </cell>
        </row>
        <row r="1192">
          <cell r="D1192">
            <v>41980</v>
          </cell>
          <cell r="U1192">
            <v>3</v>
          </cell>
          <cell r="Z1192">
            <v>0</v>
          </cell>
        </row>
        <row r="1193">
          <cell r="D1193">
            <v>41980</v>
          </cell>
          <cell r="U1193">
            <v>3</v>
          </cell>
          <cell r="Z1193">
            <v>0</v>
          </cell>
        </row>
        <row r="1194">
          <cell r="D1194">
            <v>41980</v>
          </cell>
          <cell r="U1194">
            <v>0</v>
          </cell>
          <cell r="Z1194">
            <v>1</v>
          </cell>
        </row>
        <row r="1195">
          <cell r="D1195">
            <v>41980</v>
          </cell>
          <cell r="U1195">
            <v>0</v>
          </cell>
          <cell r="Z1195">
            <v>1</v>
          </cell>
        </row>
        <row r="1196">
          <cell r="D1196">
            <v>41980</v>
          </cell>
          <cell r="U1196">
            <v>0</v>
          </cell>
          <cell r="Z1196">
            <v>1</v>
          </cell>
        </row>
        <row r="1197">
          <cell r="D1197">
            <v>41980</v>
          </cell>
          <cell r="U1197">
            <v>0</v>
          </cell>
          <cell r="Z1197">
            <v>1</v>
          </cell>
        </row>
        <row r="1198">
          <cell r="D1198">
            <v>41980</v>
          </cell>
          <cell r="U1198">
            <v>0</v>
          </cell>
          <cell r="Z1198">
            <v>1</v>
          </cell>
        </row>
        <row r="1199">
          <cell r="D1199">
            <v>41980</v>
          </cell>
          <cell r="U1199">
            <v>1</v>
          </cell>
          <cell r="Z1199">
            <v>0</v>
          </cell>
        </row>
        <row r="1200">
          <cell r="D1200">
            <v>41980</v>
          </cell>
          <cell r="U1200">
            <v>0</v>
          </cell>
          <cell r="Z1200">
            <v>1</v>
          </cell>
        </row>
        <row r="1201">
          <cell r="D1201">
            <v>41980</v>
          </cell>
          <cell r="U1201">
            <v>3</v>
          </cell>
          <cell r="Z1201">
            <v>0</v>
          </cell>
        </row>
        <row r="1202">
          <cell r="D1202">
            <v>41980</v>
          </cell>
          <cell r="U1202">
            <v>0</v>
          </cell>
          <cell r="Z1202">
            <v>1</v>
          </cell>
        </row>
        <row r="1203">
          <cell r="D1203">
            <v>41980</v>
          </cell>
          <cell r="U1203">
            <v>0</v>
          </cell>
          <cell r="Z1203">
            <v>1</v>
          </cell>
        </row>
        <row r="1204">
          <cell r="D1204">
            <v>41980</v>
          </cell>
          <cell r="U1204">
            <v>1</v>
          </cell>
          <cell r="Z1204">
            <v>0</v>
          </cell>
        </row>
        <row r="1205">
          <cell r="D1205">
            <v>41980</v>
          </cell>
          <cell r="U1205">
            <v>0</v>
          </cell>
          <cell r="Z1205">
            <v>1</v>
          </cell>
        </row>
        <row r="1206">
          <cell r="D1206">
            <v>41980</v>
          </cell>
          <cell r="U1206">
            <v>0</v>
          </cell>
          <cell r="Z1206">
            <v>1</v>
          </cell>
        </row>
        <row r="1207">
          <cell r="D1207">
            <v>41980</v>
          </cell>
          <cell r="U1207">
            <v>1</v>
          </cell>
          <cell r="Z1207">
            <v>0</v>
          </cell>
        </row>
        <row r="1208">
          <cell r="D1208">
            <v>41980</v>
          </cell>
          <cell r="U1208">
            <v>0</v>
          </cell>
          <cell r="Z1208">
            <v>1</v>
          </cell>
        </row>
        <row r="1209">
          <cell r="D1209">
            <v>41980</v>
          </cell>
          <cell r="U1209">
            <v>0</v>
          </cell>
          <cell r="Z1209">
            <v>1</v>
          </cell>
        </row>
        <row r="1210">
          <cell r="D1210">
            <v>41980</v>
          </cell>
          <cell r="U1210">
            <v>0</v>
          </cell>
          <cell r="Z1210">
            <v>1</v>
          </cell>
        </row>
        <row r="1211">
          <cell r="D1211">
            <v>41980</v>
          </cell>
          <cell r="U1211">
            <v>1</v>
          </cell>
          <cell r="Z1211">
            <v>0</v>
          </cell>
        </row>
        <row r="1212">
          <cell r="D1212">
            <v>41980</v>
          </cell>
          <cell r="U1212">
            <v>0</v>
          </cell>
          <cell r="Z1212">
            <v>1</v>
          </cell>
        </row>
        <row r="1213">
          <cell r="D1213">
            <v>41980</v>
          </cell>
          <cell r="U1213">
            <v>0</v>
          </cell>
          <cell r="Z1213">
            <v>1</v>
          </cell>
        </row>
        <row r="1214">
          <cell r="D1214">
            <v>41980</v>
          </cell>
          <cell r="U1214">
            <v>0</v>
          </cell>
          <cell r="Z1214">
            <v>1</v>
          </cell>
        </row>
        <row r="1215">
          <cell r="D1215">
            <v>41980</v>
          </cell>
          <cell r="U1215">
            <v>0</v>
          </cell>
          <cell r="Z1215">
            <v>1</v>
          </cell>
        </row>
        <row r="1216">
          <cell r="D1216">
            <v>41980</v>
          </cell>
          <cell r="U1216">
            <v>0</v>
          </cell>
          <cell r="Z1216">
            <v>1</v>
          </cell>
        </row>
        <row r="1217">
          <cell r="D1217">
            <v>41980</v>
          </cell>
          <cell r="U1217">
            <v>0</v>
          </cell>
          <cell r="Z1217">
            <v>1</v>
          </cell>
        </row>
        <row r="1218">
          <cell r="D1218">
            <v>41980</v>
          </cell>
          <cell r="U1218">
            <v>0</v>
          </cell>
          <cell r="Z1218">
            <v>1</v>
          </cell>
        </row>
        <row r="1219">
          <cell r="D1219">
            <v>41980</v>
          </cell>
          <cell r="U1219">
            <v>0</v>
          </cell>
          <cell r="Z1219">
            <v>1</v>
          </cell>
        </row>
        <row r="1220">
          <cell r="D1220">
            <v>41980</v>
          </cell>
          <cell r="U1220">
            <v>0</v>
          </cell>
          <cell r="Z1220">
            <v>1</v>
          </cell>
        </row>
        <row r="1221">
          <cell r="D1221">
            <v>41980</v>
          </cell>
          <cell r="U1221">
            <v>0</v>
          </cell>
          <cell r="Z1221">
            <v>1</v>
          </cell>
        </row>
        <row r="1222">
          <cell r="D1222">
            <v>41980</v>
          </cell>
          <cell r="U1222">
            <v>0</v>
          </cell>
          <cell r="Z1222">
            <v>1</v>
          </cell>
        </row>
        <row r="1223">
          <cell r="D1223">
            <v>41980</v>
          </cell>
          <cell r="U1223">
            <v>0</v>
          </cell>
          <cell r="Z1223">
            <v>1</v>
          </cell>
        </row>
        <row r="1224">
          <cell r="D1224">
            <v>41980</v>
          </cell>
          <cell r="U1224">
            <v>0</v>
          </cell>
          <cell r="Z1224">
            <v>1</v>
          </cell>
        </row>
        <row r="1225">
          <cell r="D1225">
            <v>41980</v>
          </cell>
          <cell r="U1225">
            <v>0</v>
          </cell>
          <cell r="Z1225">
            <v>1</v>
          </cell>
        </row>
        <row r="1226">
          <cell r="D1226">
            <v>41980</v>
          </cell>
          <cell r="U1226">
            <v>0</v>
          </cell>
          <cell r="Z1226">
            <v>1</v>
          </cell>
        </row>
        <row r="1227">
          <cell r="D1227">
            <v>41980</v>
          </cell>
          <cell r="U1227">
            <v>0</v>
          </cell>
          <cell r="Z1227">
            <v>1</v>
          </cell>
        </row>
        <row r="1228">
          <cell r="D1228">
            <v>41980</v>
          </cell>
          <cell r="U1228">
            <v>0</v>
          </cell>
          <cell r="Z1228">
            <v>1</v>
          </cell>
        </row>
        <row r="1229">
          <cell r="D1229">
            <v>41980</v>
          </cell>
          <cell r="U1229">
            <v>0</v>
          </cell>
          <cell r="Z1229">
            <v>1</v>
          </cell>
        </row>
        <row r="1230">
          <cell r="D1230">
            <v>41980</v>
          </cell>
          <cell r="U1230">
            <v>0</v>
          </cell>
          <cell r="Z1230">
            <v>1</v>
          </cell>
        </row>
        <row r="1231">
          <cell r="D1231">
            <v>41980</v>
          </cell>
          <cell r="U1231">
            <v>0</v>
          </cell>
          <cell r="Z1231">
            <v>1</v>
          </cell>
        </row>
        <row r="1232">
          <cell r="D1232">
            <v>41980</v>
          </cell>
          <cell r="U1232">
            <v>0</v>
          </cell>
          <cell r="Z1232">
            <v>1</v>
          </cell>
        </row>
        <row r="1233">
          <cell r="D1233">
            <v>41980</v>
          </cell>
          <cell r="U1233">
            <v>0</v>
          </cell>
          <cell r="Z1233">
            <v>1</v>
          </cell>
        </row>
        <row r="1234">
          <cell r="D1234">
            <v>41980</v>
          </cell>
          <cell r="U1234">
            <v>0</v>
          </cell>
          <cell r="Z1234">
            <v>1</v>
          </cell>
        </row>
        <row r="1235">
          <cell r="D1235">
            <v>41980</v>
          </cell>
          <cell r="U1235">
            <v>0</v>
          </cell>
          <cell r="Z1235">
            <v>1</v>
          </cell>
        </row>
        <row r="1236">
          <cell r="D1236">
            <v>41980</v>
          </cell>
          <cell r="U1236">
            <v>0</v>
          </cell>
          <cell r="Z1236">
            <v>1</v>
          </cell>
        </row>
        <row r="1237">
          <cell r="D1237">
            <v>41980</v>
          </cell>
          <cell r="U1237">
            <v>0</v>
          </cell>
          <cell r="Z1237">
            <v>1</v>
          </cell>
        </row>
        <row r="1238">
          <cell r="D1238">
            <v>41980</v>
          </cell>
          <cell r="U1238">
            <v>0</v>
          </cell>
          <cell r="Z1238">
            <v>1</v>
          </cell>
        </row>
        <row r="1239">
          <cell r="D1239">
            <v>41980</v>
          </cell>
          <cell r="U1239">
            <v>3</v>
          </cell>
          <cell r="Z1239">
            <v>0</v>
          </cell>
        </row>
        <row r="1240">
          <cell r="D1240">
            <v>41980</v>
          </cell>
          <cell r="U1240">
            <v>0</v>
          </cell>
          <cell r="Z1240">
            <v>1</v>
          </cell>
        </row>
        <row r="1241">
          <cell r="D1241">
            <v>41980</v>
          </cell>
          <cell r="U1241">
            <v>2</v>
          </cell>
          <cell r="Z1241">
            <v>0</v>
          </cell>
        </row>
        <row r="1242">
          <cell r="D1242">
            <v>41980</v>
          </cell>
          <cell r="U1242">
            <v>3</v>
          </cell>
          <cell r="Z1242">
            <v>0</v>
          </cell>
        </row>
        <row r="1243">
          <cell r="D1243">
            <v>41980</v>
          </cell>
          <cell r="U1243">
            <v>3</v>
          </cell>
          <cell r="Z1243">
            <v>0</v>
          </cell>
        </row>
        <row r="1244">
          <cell r="D1244">
            <v>41980</v>
          </cell>
          <cell r="U1244">
            <v>2</v>
          </cell>
          <cell r="Z1244">
            <v>0</v>
          </cell>
        </row>
        <row r="1245">
          <cell r="D1245">
            <v>41980</v>
          </cell>
          <cell r="U1245">
            <v>0</v>
          </cell>
          <cell r="Z1245">
            <v>1</v>
          </cell>
        </row>
        <row r="1246">
          <cell r="D1246">
            <v>41980</v>
          </cell>
          <cell r="U1246">
            <v>0</v>
          </cell>
          <cell r="Z1246">
            <v>1</v>
          </cell>
        </row>
        <row r="1247">
          <cell r="D1247">
            <v>41980</v>
          </cell>
          <cell r="U1247">
            <v>0</v>
          </cell>
          <cell r="Z1247">
            <v>1</v>
          </cell>
        </row>
        <row r="1248">
          <cell r="D1248">
            <v>41980</v>
          </cell>
          <cell r="U1248">
            <v>2</v>
          </cell>
          <cell r="Z1248">
            <v>0</v>
          </cell>
        </row>
        <row r="1249">
          <cell r="D1249">
            <v>41980</v>
          </cell>
          <cell r="U1249">
            <v>0</v>
          </cell>
          <cell r="Z1249">
            <v>1</v>
          </cell>
        </row>
        <row r="1250">
          <cell r="D1250">
            <v>41980</v>
          </cell>
          <cell r="U1250">
            <v>0</v>
          </cell>
          <cell r="Z1250">
            <v>1</v>
          </cell>
        </row>
        <row r="1251">
          <cell r="D1251">
            <v>41980</v>
          </cell>
          <cell r="U1251">
            <v>0</v>
          </cell>
          <cell r="Z1251">
            <v>1</v>
          </cell>
        </row>
        <row r="1252">
          <cell r="D1252">
            <v>41980</v>
          </cell>
          <cell r="U1252">
            <v>0</v>
          </cell>
          <cell r="Z1252">
            <v>1</v>
          </cell>
        </row>
        <row r="1253">
          <cell r="D1253">
            <v>41980</v>
          </cell>
          <cell r="U1253">
            <v>0</v>
          </cell>
          <cell r="Z1253">
            <v>1</v>
          </cell>
        </row>
        <row r="1254">
          <cell r="D1254">
            <v>41980</v>
          </cell>
          <cell r="U1254">
            <v>0</v>
          </cell>
          <cell r="Z1254">
            <v>1</v>
          </cell>
        </row>
        <row r="1255">
          <cell r="D1255">
            <v>41980</v>
          </cell>
          <cell r="U1255">
            <v>0</v>
          </cell>
          <cell r="Z1255">
            <v>1</v>
          </cell>
        </row>
        <row r="1256">
          <cell r="D1256">
            <v>41980</v>
          </cell>
          <cell r="U1256">
            <v>0</v>
          </cell>
          <cell r="Z1256">
            <v>1</v>
          </cell>
        </row>
        <row r="1257">
          <cell r="D1257">
            <v>41980</v>
          </cell>
          <cell r="U1257">
            <v>0</v>
          </cell>
          <cell r="Z1257">
            <v>1</v>
          </cell>
        </row>
        <row r="1258">
          <cell r="D1258">
            <v>41980</v>
          </cell>
          <cell r="U1258">
            <v>3</v>
          </cell>
          <cell r="Z1258">
            <v>0</v>
          </cell>
        </row>
        <row r="1259">
          <cell r="D1259">
            <v>41980</v>
          </cell>
          <cell r="U1259">
            <v>0</v>
          </cell>
          <cell r="Z1259">
            <v>1</v>
          </cell>
        </row>
        <row r="1260">
          <cell r="D1260">
            <v>41980</v>
          </cell>
          <cell r="U1260">
            <v>0</v>
          </cell>
          <cell r="Z1260">
            <v>1</v>
          </cell>
        </row>
        <row r="1261">
          <cell r="D1261">
            <v>41980</v>
          </cell>
          <cell r="U1261">
            <v>0</v>
          </cell>
          <cell r="Z1261">
            <v>1</v>
          </cell>
        </row>
        <row r="1262">
          <cell r="D1262">
            <v>41980</v>
          </cell>
          <cell r="U1262">
            <v>0</v>
          </cell>
          <cell r="Z1262">
            <v>1</v>
          </cell>
        </row>
        <row r="1263">
          <cell r="D1263">
            <v>41980</v>
          </cell>
          <cell r="U1263">
            <v>0</v>
          </cell>
          <cell r="Z1263">
            <v>1</v>
          </cell>
        </row>
        <row r="1264">
          <cell r="D1264">
            <v>41980</v>
          </cell>
          <cell r="U1264">
            <v>1</v>
          </cell>
          <cell r="Z1264">
            <v>0</v>
          </cell>
        </row>
        <row r="1265">
          <cell r="D1265">
            <v>41980</v>
          </cell>
          <cell r="U1265">
            <v>1</v>
          </cell>
          <cell r="Z1265">
            <v>0</v>
          </cell>
        </row>
        <row r="1266">
          <cell r="D1266">
            <v>41980</v>
          </cell>
          <cell r="U1266">
            <v>0</v>
          </cell>
          <cell r="Z1266">
            <v>1</v>
          </cell>
        </row>
        <row r="1267">
          <cell r="D1267">
            <v>41980</v>
          </cell>
          <cell r="U1267">
            <v>0</v>
          </cell>
          <cell r="Z1267">
            <v>1</v>
          </cell>
        </row>
        <row r="1268">
          <cell r="D1268">
            <v>41980</v>
          </cell>
          <cell r="U1268">
            <v>1</v>
          </cell>
          <cell r="Z1268">
            <v>0</v>
          </cell>
        </row>
        <row r="1269">
          <cell r="D1269">
            <v>41980</v>
          </cell>
          <cell r="U1269">
            <v>0</v>
          </cell>
          <cell r="Z1269">
            <v>1</v>
          </cell>
        </row>
        <row r="1270">
          <cell r="D1270">
            <v>41980</v>
          </cell>
          <cell r="U1270">
            <v>1</v>
          </cell>
          <cell r="Z1270">
            <v>0</v>
          </cell>
        </row>
        <row r="1271">
          <cell r="D1271">
            <v>41980</v>
          </cell>
          <cell r="U1271">
            <v>0</v>
          </cell>
          <cell r="Z1271">
            <v>1</v>
          </cell>
        </row>
        <row r="1272">
          <cell r="D1272">
            <v>41980</v>
          </cell>
          <cell r="U1272">
            <v>0</v>
          </cell>
          <cell r="Z1272">
            <v>1</v>
          </cell>
        </row>
        <row r="1273">
          <cell r="D1273">
            <v>41980</v>
          </cell>
          <cell r="U1273">
            <v>3</v>
          </cell>
          <cell r="Z1273">
            <v>0</v>
          </cell>
        </row>
        <row r="1274">
          <cell r="D1274">
            <v>41980</v>
          </cell>
          <cell r="U1274">
            <v>3</v>
          </cell>
          <cell r="Z1274">
            <v>0</v>
          </cell>
        </row>
        <row r="1275">
          <cell r="D1275">
            <v>41980</v>
          </cell>
          <cell r="U1275">
            <v>0</v>
          </cell>
          <cell r="Z1275">
            <v>1</v>
          </cell>
        </row>
        <row r="1276">
          <cell r="D1276">
            <v>41980</v>
          </cell>
          <cell r="U1276">
            <v>3</v>
          </cell>
          <cell r="Z1276">
            <v>0</v>
          </cell>
        </row>
        <row r="1277">
          <cell r="D1277">
            <v>41980</v>
          </cell>
          <cell r="U1277">
            <v>0</v>
          </cell>
          <cell r="Z1277">
            <v>1</v>
          </cell>
        </row>
        <row r="1278">
          <cell r="D1278">
            <v>41980</v>
          </cell>
          <cell r="U1278">
            <v>0</v>
          </cell>
          <cell r="Z1278">
            <v>1</v>
          </cell>
        </row>
        <row r="1279">
          <cell r="D1279">
            <v>41981</v>
          </cell>
          <cell r="U1279">
            <v>1</v>
          </cell>
          <cell r="Z1279">
            <v>0</v>
          </cell>
        </row>
        <row r="1280">
          <cell r="D1280">
            <v>41981</v>
          </cell>
          <cell r="U1280">
            <v>0</v>
          </cell>
          <cell r="Z1280">
            <v>1</v>
          </cell>
        </row>
        <row r="1281">
          <cell r="D1281">
            <v>41981</v>
          </cell>
          <cell r="U1281">
            <v>2</v>
          </cell>
          <cell r="Z1281">
            <v>0</v>
          </cell>
        </row>
        <row r="1282">
          <cell r="D1282">
            <v>41981</v>
          </cell>
          <cell r="U1282">
            <v>0</v>
          </cell>
          <cell r="Z1282">
            <v>1</v>
          </cell>
        </row>
        <row r="1283">
          <cell r="D1283">
            <v>41981</v>
          </cell>
          <cell r="U1283">
            <v>0</v>
          </cell>
          <cell r="Z1283">
            <v>1</v>
          </cell>
        </row>
        <row r="1284">
          <cell r="D1284">
            <v>41981</v>
          </cell>
          <cell r="U1284">
            <v>0</v>
          </cell>
          <cell r="Z1284">
            <v>1</v>
          </cell>
        </row>
        <row r="1285">
          <cell r="D1285">
            <v>41981</v>
          </cell>
          <cell r="U1285">
            <v>0</v>
          </cell>
          <cell r="Z1285">
            <v>1</v>
          </cell>
        </row>
        <row r="1286">
          <cell r="D1286">
            <v>41981</v>
          </cell>
          <cell r="U1286">
            <v>0</v>
          </cell>
          <cell r="Z1286">
            <v>1</v>
          </cell>
        </row>
        <row r="1287">
          <cell r="D1287">
            <v>41981</v>
          </cell>
          <cell r="U1287">
            <v>0</v>
          </cell>
          <cell r="Z1287">
            <v>1</v>
          </cell>
        </row>
        <row r="1288">
          <cell r="D1288">
            <v>41981</v>
          </cell>
          <cell r="U1288">
            <v>2</v>
          </cell>
          <cell r="Z1288">
            <v>0</v>
          </cell>
        </row>
        <row r="1289">
          <cell r="D1289">
            <v>41981</v>
          </cell>
          <cell r="U1289">
            <v>0</v>
          </cell>
          <cell r="Z1289">
            <v>1</v>
          </cell>
        </row>
        <row r="1290">
          <cell r="D1290">
            <v>41981</v>
          </cell>
          <cell r="U1290">
            <v>0</v>
          </cell>
          <cell r="Z1290">
            <v>1</v>
          </cell>
        </row>
        <row r="1291">
          <cell r="D1291">
            <v>41981</v>
          </cell>
          <cell r="U1291">
            <v>0</v>
          </cell>
          <cell r="Z1291">
            <v>1</v>
          </cell>
        </row>
        <row r="1292">
          <cell r="D1292">
            <v>41981</v>
          </cell>
          <cell r="U1292">
            <v>1</v>
          </cell>
          <cell r="Z1292">
            <v>0</v>
          </cell>
        </row>
        <row r="1293">
          <cell r="D1293">
            <v>41981</v>
          </cell>
          <cell r="U1293">
            <v>2</v>
          </cell>
          <cell r="Z1293">
            <v>0</v>
          </cell>
        </row>
        <row r="1294">
          <cell r="D1294">
            <v>41981</v>
          </cell>
          <cell r="U1294">
            <v>0</v>
          </cell>
          <cell r="Z1294">
            <v>1</v>
          </cell>
        </row>
        <row r="1295">
          <cell r="D1295">
            <v>41981</v>
          </cell>
          <cell r="U1295">
            <v>1</v>
          </cell>
          <cell r="Z1295">
            <v>0</v>
          </cell>
        </row>
        <row r="1296">
          <cell r="D1296">
            <v>41981</v>
          </cell>
          <cell r="U1296">
            <v>1</v>
          </cell>
          <cell r="Z1296">
            <v>0</v>
          </cell>
        </row>
        <row r="1297">
          <cell r="D1297">
            <v>41981</v>
          </cell>
          <cell r="U1297">
            <v>1</v>
          </cell>
          <cell r="Z1297">
            <v>0</v>
          </cell>
        </row>
        <row r="1298">
          <cell r="D1298">
            <v>41981</v>
          </cell>
          <cell r="U1298">
            <v>0</v>
          </cell>
          <cell r="Z1298">
            <v>1</v>
          </cell>
        </row>
        <row r="1299">
          <cell r="D1299">
            <v>41981</v>
          </cell>
          <cell r="U1299">
            <v>0</v>
          </cell>
          <cell r="Z1299">
            <v>1</v>
          </cell>
        </row>
        <row r="1300">
          <cell r="D1300">
            <v>41981</v>
          </cell>
          <cell r="U1300">
            <v>0</v>
          </cell>
          <cell r="Z1300">
            <v>1</v>
          </cell>
        </row>
        <row r="1301">
          <cell r="D1301">
            <v>41981</v>
          </cell>
          <cell r="U1301">
            <v>3</v>
          </cell>
          <cell r="Z1301">
            <v>0</v>
          </cell>
        </row>
        <row r="1302">
          <cell r="D1302">
            <v>41981</v>
          </cell>
          <cell r="U1302">
            <v>0</v>
          </cell>
          <cell r="Z1302">
            <v>1</v>
          </cell>
        </row>
        <row r="1303">
          <cell r="D1303">
            <v>41981</v>
          </cell>
          <cell r="U1303">
            <v>0</v>
          </cell>
          <cell r="Z1303">
            <v>1</v>
          </cell>
        </row>
        <row r="1304">
          <cell r="D1304">
            <v>41981</v>
          </cell>
          <cell r="U1304">
            <v>0</v>
          </cell>
          <cell r="Z1304">
            <v>1</v>
          </cell>
        </row>
        <row r="1305">
          <cell r="D1305">
            <v>41981</v>
          </cell>
          <cell r="U1305">
            <v>0</v>
          </cell>
          <cell r="Z1305">
            <v>1</v>
          </cell>
        </row>
        <row r="1306">
          <cell r="D1306">
            <v>41981</v>
          </cell>
          <cell r="U1306">
            <v>1</v>
          </cell>
          <cell r="Z1306">
            <v>0</v>
          </cell>
        </row>
        <row r="1307">
          <cell r="D1307">
            <v>41981</v>
          </cell>
          <cell r="U1307">
            <v>1</v>
          </cell>
          <cell r="Z1307">
            <v>0</v>
          </cell>
        </row>
        <row r="1308">
          <cell r="D1308">
            <v>41981</v>
          </cell>
          <cell r="U1308">
            <v>0</v>
          </cell>
          <cell r="Z1308">
            <v>1</v>
          </cell>
        </row>
        <row r="1309">
          <cell r="D1309">
            <v>41981</v>
          </cell>
          <cell r="U1309">
            <v>0</v>
          </cell>
          <cell r="Z1309">
            <v>1</v>
          </cell>
        </row>
        <row r="1310">
          <cell r="D1310">
            <v>41981</v>
          </cell>
          <cell r="U1310">
            <v>0</v>
          </cell>
          <cell r="Z1310">
            <v>1</v>
          </cell>
        </row>
        <row r="1311">
          <cell r="D1311">
            <v>41981</v>
          </cell>
          <cell r="U1311">
            <v>0</v>
          </cell>
          <cell r="Z1311">
            <v>1</v>
          </cell>
        </row>
        <row r="1312">
          <cell r="D1312">
            <v>41981</v>
          </cell>
          <cell r="U1312">
            <v>0</v>
          </cell>
          <cell r="Z1312">
            <v>1</v>
          </cell>
        </row>
        <row r="1313">
          <cell r="D1313">
            <v>41981</v>
          </cell>
          <cell r="U1313">
            <v>0</v>
          </cell>
          <cell r="Z1313">
            <v>1</v>
          </cell>
        </row>
        <row r="1314">
          <cell r="D1314">
            <v>41981</v>
          </cell>
          <cell r="U1314">
            <v>1</v>
          </cell>
          <cell r="Z1314">
            <v>0</v>
          </cell>
        </row>
        <row r="1315">
          <cell r="D1315">
            <v>41981</v>
          </cell>
          <cell r="U1315">
            <v>1</v>
          </cell>
          <cell r="Z1315">
            <v>0</v>
          </cell>
        </row>
        <row r="1316">
          <cell r="D1316">
            <v>41981</v>
          </cell>
          <cell r="U1316">
            <v>2</v>
          </cell>
          <cell r="Z1316">
            <v>0</v>
          </cell>
        </row>
        <row r="1317">
          <cell r="D1317">
            <v>41981</v>
          </cell>
          <cell r="U1317">
            <v>0</v>
          </cell>
          <cell r="Z1317">
            <v>1</v>
          </cell>
        </row>
        <row r="1318">
          <cell r="D1318">
            <v>41981</v>
          </cell>
          <cell r="U1318">
            <v>2</v>
          </cell>
          <cell r="Z1318">
            <v>0</v>
          </cell>
        </row>
        <row r="1319">
          <cell r="D1319">
            <v>41981</v>
          </cell>
          <cell r="U1319">
            <v>0</v>
          </cell>
          <cell r="Z1319">
            <v>1</v>
          </cell>
        </row>
        <row r="1320">
          <cell r="D1320">
            <v>41981</v>
          </cell>
          <cell r="U1320">
            <v>0</v>
          </cell>
          <cell r="Z1320">
            <v>1</v>
          </cell>
        </row>
        <row r="1321">
          <cell r="D1321">
            <v>41981</v>
          </cell>
          <cell r="U1321">
            <v>0</v>
          </cell>
          <cell r="Z1321">
            <v>1</v>
          </cell>
        </row>
        <row r="1322">
          <cell r="D1322">
            <v>41981</v>
          </cell>
          <cell r="U1322">
            <v>2</v>
          </cell>
          <cell r="Z1322">
            <v>0</v>
          </cell>
        </row>
        <row r="1323">
          <cell r="D1323">
            <v>41981</v>
          </cell>
          <cell r="U1323">
            <v>3</v>
          </cell>
          <cell r="Z1323">
            <v>0</v>
          </cell>
        </row>
        <row r="1324">
          <cell r="D1324">
            <v>41981</v>
          </cell>
          <cell r="U1324">
            <v>2</v>
          </cell>
          <cell r="Z1324">
            <v>0</v>
          </cell>
        </row>
        <row r="1325">
          <cell r="D1325">
            <v>41981</v>
          </cell>
          <cell r="U1325">
            <v>0</v>
          </cell>
          <cell r="Z1325">
            <v>1</v>
          </cell>
        </row>
        <row r="1326">
          <cell r="D1326">
            <v>41981</v>
          </cell>
          <cell r="U1326">
            <v>0</v>
          </cell>
          <cell r="Z1326">
            <v>1</v>
          </cell>
        </row>
        <row r="1327">
          <cell r="D1327">
            <v>41981</v>
          </cell>
          <cell r="U1327">
            <v>2</v>
          </cell>
          <cell r="Z1327">
            <v>0</v>
          </cell>
        </row>
        <row r="1328">
          <cell r="D1328">
            <v>41981</v>
          </cell>
          <cell r="U1328">
            <v>2</v>
          </cell>
          <cell r="Z1328">
            <v>0</v>
          </cell>
        </row>
        <row r="1329">
          <cell r="D1329">
            <v>41981</v>
          </cell>
          <cell r="U1329">
            <v>0</v>
          </cell>
          <cell r="Z1329">
            <v>1</v>
          </cell>
        </row>
        <row r="1330">
          <cell r="D1330">
            <v>41981</v>
          </cell>
          <cell r="U1330">
            <v>2</v>
          </cell>
          <cell r="Z1330">
            <v>0</v>
          </cell>
        </row>
        <row r="1331">
          <cell r="D1331">
            <v>41981</v>
          </cell>
          <cell r="U1331">
            <v>1</v>
          </cell>
          <cell r="Z1331">
            <v>0</v>
          </cell>
        </row>
        <row r="1332">
          <cell r="D1332">
            <v>41981</v>
          </cell>
          <cell r="U1332">
            <v>0</v>
          </cell>
          <cell r="Z1332">
            <v>1</v>
          </cell>
        </row>
        <row r="1333">
          <cell r="D1333">
            <v>41981</v>
          </cell>
          <cell r="U1333">
            <v>2</v>
          </cell>
          <cell r="Z1333">
            <v>0</v>
          </cell>
        </row>
        <row r="1334">
          <cell r="D1334">
            <v>41981</v>
          </cell>
          <cell r="U1334">
            <v>0</v>
          </cell>
          <cell r="Z1334">
            <v>1</v>
          </cell>
        </row>
        <row r="1335">
          <cell r="D1335">
            <v>41981</v>
          </cell>
          <cell r="U1335">
            <v>1</v>
          </cell>
          <cell r="Z1335">
            <v>0</v>
          </cell>
        </row>
        <row r="1336">
          <cell r="D1336">
            <v>41981</v>
          </cell>
          <cell r="U1336">
            <v>1</v>
          </cell>
          <cell r="Z1336">
            <v>0</v>
          </cell>
        </row>
        <row r="1337">
          <cell r="D1337">
            <v>41981</v>
          </cell>
          <cell r="U1337">
            <v>0</v>
          </cell>
          <cell r="Z1337">
            <v>1</v>
          </cell>
        </row>
        <row r="1338">
          <cell r="D1338">
            <v>41981</v>
          </cell>
          <cell r="U1338">
            <v>0</v>
          </cell>
          <cell r="Z1338">
            <v>1</v>
          </cell>
        </row>
        <row r="1339">
          <cell r="D1339">
            <v>41981</v>
          </cell>
          <cell r="U1339">
            <v>1</v>
          </cell>
          <cell r="Z1339">
            <v>0</v>
          </cell>
        </row>
        <row r="1340">
          <cell r="D1340">
            <v>41981</v>
          </cell>
          <cell r="U1340">
            <v>0</v>
          </cell>
          <cell r="Z1340">
            <v>1</v>
          </cell>
        </row>
        <row r="1341">
          <cell r="D1341">
            <v>41981</v>
          </cell>
          <cell r="U1341">
            <v>0</v>
          </cell>
          <cell r="Z1341">
            <v>1</v>
          </cell>
        </row>
        <row r="1342">
          <cell r="D1342">
            <v>41981</v>
          </cell>
          <cell r="U1342">
            <v>0</v>
          </cell>
          <cell r="Z1342">
            <v>1</v>
          </cell>
        </row>
        <row r="1343">
          <cell r="D1343">
            <v>41981</v>
          </cell>
          <cell r="U1343">
            <v>1</v>
          </cell>
          <cell r="Z1343">
            <v>0</v>
          </cell>
        </row>
        <row r="1344">
          <cell r="D1344">
            <v>41981</v>
          </cell>
          <cell r="U1344">
            <v>1</v>
          </cell>
          <cell r="Z1344">
            <v>0</v>
          </cell>
        </row>
        <row r="1345">
          <cell r="D1345">
            <v>41981</v>
          </cell>
          <cell r="U1345">
            <v>2</v>
          </cell>
          <cell r="Z1345">
            <v>0</v>
          </cell>
        </row>
        <row r="1346">
          <cell r="D1346">
            <v>41981</v>
          </cell>
          <cell r="U1346">
            <v>2</v>
          </cell>
          <cell r="Z1346">
            <v>0</v>
          </cell>
        </row>
        <row r="1347">
          <cell r="D1347">
            <v>41981</v>
          </cell>
          <cell r="U1347">
            <v>2</v>
          </cell>
          <cell r="Z1347">
            <v>0</v>
          </cell>
        </row>
        <row r="1348">
          <cell r="D1348">
            <v>41981</v>
          </cell>
          <cell r="U1348">
            <v>0</v>
          </cell>
          <cell r="Z1348">
            <v>1</v>
          </cell>
        </row>
        <row r="1349">
          <cell r="D1349">
            <v>41981</v>
          </cell>
          <cell r="U1349">
            <v>0</v>
          </cell>
          <cell r="Z1349">
            <v>1</v>
          </cell>
        </row>
        <row r="1350">
          <cell r="D1350">
            <v>41981</v>
          </cell>
          <cell r="U1350">
            <v>1</v>
          </cell>
          <cell r="Z1350">
            <v>0</v>
          </cell>
        </row>
        <row r="1351">
          <cell r="D1351">
            <v>41981</v>
          </cell>
          <cell r="U1351">
            <v>0</v>
          </cell>
          <cell r="Z1351">
            <v>1</v>
          </cell>
        </row>
        <row r="1352">
          <cell r="D1352">
            <v>41981</v>
          </cell>
          <cell r="U1352">
            <v>2</v>
          </cell>
          <cell r="Z1352">
            <v>0</v>
          </cell>
        </row>
        <row r="1353">
          <cell r="D1353">
            <v>41981</v>
          </cell>
          <cell r="U1353">
            <v>0</v>
          </cell>
          <cell r="Z1353">
            <v>1</v>
          </cell>
        </row>
        <row r="1354">
          <cell r="D1354">
            <v>41981</v>
          </cell>
          <cell r="U1354">
            <v>3</v>
          </cell>
          <cell r="Z1354">
            <v>0</v>
          </cell>
        </row>
        <row r="1355">
          <cell r="D1355">
            <v>41981</v>
          </cell>
          <cell r="U1355">
            <v>0</v>
          </cell>
          <cell r="Z1355">
            <v>1</v>
          </cell>
        </row>
        <row r="1356">
          <cell r="D1356">
            <v>41981</v>
          </cell>
          <cell r="U1356">
            <v>3</v>
          </cell>
          <cell r="Z1356">
            <v>0</v>
          </cell>
        </row>
        <row r="1357">
          <cell r="D1357">
            <v>41981</v>
          </cell>
          <cell r="U1357">
            <v>0</v>
          </cell>
          <cell r="Z1357">
            <v>1</v>
          </cell>
        </row>
        <row r="1358">
          <cell r="D1358">
            <v>41981</v>
          </cell>
          <cell r="U1358">
            <v>0</v>
          </cell>
          <cell r="Z1358">
            <v>1</v>
          </cell>
        </row>
        <row r="1359">
          <cell r="D1359">
            <v>41981</v>
          </cell>
          <cell r="U1359">
            <v>0</v>
          </cell>
          <cell r="Z1359">
            <v>1</v>
          </cell>
        </row>
        <row r="1360">
          <cell r="D1360">
            <v>41981</v>
          </cell>
          <cell r="U1360">
            <v>0</v>
          </cell>
          <cell r="Z1360">
            <v>1</v>
          </cell>
        </row>
        <row r="1361">
          <cell r="D1361">
            <v>41981</v>
          </cell>
          <cell r="U1361">
            <v>0</v>
          </cell>
          <cell r="Z1361">
            <v>1</v>
          </cell>
        </row>
        <row r="1362">
          <cell r="D1362">
            <v>41981</v>
          </cell>
          <cell r="U1362">
            <v>0</v>
          </cell>
          <cell r="Z1362">
            <v>1</v>
          </cell>
        </row>
        <row r="1363">
          <cell r="D1363">
            <v>41981</v>
          </cell>
          <cell r="U1363">
            <v>0</v>
          </cell>
          <cell r="Z1363">
            <v>1</v>
          </cell>
        </row>
        <row r="1364">
          <cell r="D1364">
            <v>41981</v>
          </cell>
          <cell r="U1364">
            <v>0</v>
          </cell>
          <cell r="Z1364">
            <v>1</v>
          </cell>
        </row>
        <row r="1365">
          <cell r="D1365">
            <v>41981</v>
          </cell>
          <cell r="U1365">
            <v>2</v>
          </cell>
          <cell r="Z1365">
            <v>0</v>
          </cell>
        </row>
        <row r="1366">
          <cell r="D1366">
            <v>41981</v>
          </cell>
          <cell r="U1366">
            <v>2</v>
          </cell>
          <cell r="Z1366">
            <v>0</v>
          </cell>
        </row>
        <row r="1367">
          <cell r="D1367">
            <v>41981</v>
          </cell>
          <cell r="U1367">
            <v>0</v>
          </cell>
          <cell r="Z1367">
            <v>1</v>
          </cell>
        </row>
        <row r="1368">
          <cell r="D1368">
            <v>41981</v>
          </cell>
          <cell r="U1368">
            <v>0</v>
          </cell>
          <cell r="Z1368">
            <v>1</v>
          </cell>
        </row>
        <row r="1369">
          <cell r="D1369">
            <v>41981</v>
          </cell>
          <cell r="U1369">
            <v>2</v>
          </cell>
          <cell r="Z1369">
            <v>0</v>
          </cell>
        </row>
        <row r="1370">
          <cell r="D1370">
            <v>41981</v>
          </cell>
          <cell r="U1370">
            <v>0</v>
          </cell>
          <cell r="Z1370">
            <v>1</v>
          </cell>
        </row>
        <row r="1371">
          <cell r="D1371">
            <v>41981</v>
          </cell>
          <cell r="U1371">
            <v>0</v>
          </cell>
          <cell r="Z1371">
            <v>1</v>
          </cell>
        </row>
        <row r="1372">
          <cell r="D1372">
            <v>41981</v>
          </cell>
          <cell r="U1372">
            <v>0</v>
          </cell>
          <cell r="Z1372">
            <v>1</v>
          </cell>
        </row>
        <row r="1373">
          <cell r="D1373">
            <v>41981</v>
          </cell>
          <cell r="U1373">
            <v>1</v>
          </cell>
          <cell r="Z1373">
            <v>0</v>
          </cell>
        </row>
        <row r="1374">
          <cell r="D1374">
            <v>41981</v>
          </cell>
          <cell r="U1374">
            <v>1</v>
          </cell>
          <cell r="Z1374">
            <v>0</v>
          </cell>
        </row>
        <row r="1375">
          <cell r="D1375">
            <v>41981</v>
          </cell>
          <cell r="U1375">
            <v>0</v>
          </cell>
          <cell r="Z1375">
            <v>1</v>
          </cell>
        </row>
        <row r="1376">
          <cell r="D1376">
            <v>41981</v>
          </cell>
          <cell r="U1376">
            <v>0</v>
          </cell>
          <cell r="Z1376">
            <v>1</v>
          </cell>
        </row>
        <row r="1377">
          <cell r="D1377">
            <v>41981</v>
          </cell>
          <cell r="U1377">
            <v>0</v>
          </cell>
          <cell r="Z1377">
            <v>1</v>
          </cell>
        </row>
        <row r="1378">
          <cell r="D1378">
            <v>41981</v>
          </cell>
          <cell r="U1378">
            <v>1</v>
          </cell>
          <cell r="Z1378">
            <v>0</v>
          </cell>
        </row>
        <row r="1379">
          <cell r="D1379">
            <v>41981</v>
          </cell>
          <cell r="U1379">
            <v>0</v>
          </cell>
          <cell r="Z1379">
            <v>1</v>
          </cell>
        </row>
        <row r="1380">
          <cell r="D1380">
            <v>41981</v>
          </cell>
          <cell r="U1380">
            <v>0</v>
          </cell>
          <cell r="Z1380">
            <v>1</v>
          </cell>
        </row>
        <row r="1381">
          <cell r="D1381">
            <v>41981</v>
          </cell>
          <cell r="U1381">
            <v>1</v>
          </cell>
          <cell r="Z1381">
            <v>0</v>
          </cell>
        </row>
        <row r="1382">
          <cell r="D1382">
            <v>41981</v>
          </cell>
          <cell r="U1382">
            <v>0</v>
          </cell>
          <cell r="Z1382">
            <v>1</v>
          </cell>
        </row>
        <row r="1383">
          <cell r="D1383">
            <v>41981</v>
          </cell>
          <cell r="U1383">
            <v>0</v>
          </cell>
          <cell r="Z1383">
            <v>1</v>
          </cell>
        </row>
        <row r="1384">
          <cell r="D1384">
            <v>41981</v>
          </cell>
          <cell r="U1384">
            <v>0</v>
          </cell>
          <cell r="Z1384">
            <v>1</v>
          </cell>
        </row>
        <row r="1385">
          <cell r="D1385">
            <v>41981</v>
          </cell>
          <cell r="U1385">
            <v>1</v>
          </cell>
          <cell r="Z1385">
            <v>0</v>
          </cell>
        </row>
        <row r="1386">
          <cell r="D1386">
            <v>41981</v>
          </cell>
          <cell r="U1386">
            <v>1</v>
          </cell>
          <cell r="Z1386">
            <v>0</v>
          </cell>
        </row>
        <row r="1387">
          <cell r="D1387">
            <v>41981</v>
          </cell>
          <cell r="U1387">
            <v>0</v>
          </cell>
          <cell r="Z1387">
            <v>1</v>
          </cell>
        </row>
        <row r="1388">
          <cell r="D1388">
            <v>41981</v>
          </cell>
          <cell r="U1388">
            <v>1</v>
          </cell>
          <cell r="Z1388">
            <v>0</v>
          </cell>
        </row>
        <row r="1389">
          <cell r="D1389">
            <v>41981</v>
          </cell>
          <cell r="U1389">
            <v>0</v>
          </cell>
          <cell r="Z1389">
            <v>1</v>
          </cell>
        </row>
        <row r="1390">
          <cell r="D1390">
            <v>41981</v>
          </cell>
          <cell r="U1390">
            <v>0</v>
          </cell>
          <cell r="Z1390">
            <v>1</v>
          </cell>
        </row>
        <row r="1391">
          <cell r="D1391">
            <v>41981</v>
          </cell>
          <cell r="U1391">
            <v>0</v>
          </cell>
          <cell r="Z1391">
            <v>1</v>
          </cell>
        </row>
        <row r="1392">
          <cell r="D1392">
            <v>41981</v>
          </cell>
          <cell r="U1392">
            <v>1</v>
          </cell>
          <cell r="Z1392">
            <v>0</v>
          </cell>
        </row>
        <row r="1393">
          <cell r="D1393">
            <v>41981</v>
          </cell>
          <cell r="U1393">
            <v>2</v>
          </cell>
          <cell r="Z1393">
            <v>0</v>
          </cell>
        </row>
        <row r="1394">
          <cell r="D1394">
            <v>41981</v>
          </cell>
          <cell r="U1394">
            <v>0</v>
          </cell>
          <cell r="Z1394">
            <v>1</v>
          </cell>
        </row>
        <row r="1395">
          <cell r="D1395">
            <v>41981</v>
          </cell>
          <cell r="U1395">
            <v>1</v>
          </cell>
          <cell r="Z1395">
            <v>0</v>
          </cell>
        </row>
        <row r="1396">
          <cell r="D1396">
            <v>41981</v>
          </cell>
          <cell r="U1396">
            <v>0</v>
          </cell>
          <cell r="Z1396">
            <v>1</v>
          </cell>
        </row>
        <row r="1397">
          <cell r="D1397">
            <v>41981</v>
          </cell>
          <cell r="U1397">
            <v>0</v>
          </cell>
          <cell r="Z1397">
            <v>1</v>
          </cell>
        </row>
        <row r="1398">
          <cell r="D1398">
            <v>41981</v>
          </cell>
          <cell r="U1398">
            <v>0</v>
          </cell>
          <cell r="Z1398">
            <v>1</v>
          </cell>
        </row>
        <row r="1399">
          <cell r="D1399">
            <v>41981</v>
          </cell>
          <cell r="U1399">
            <v>1</v>
          </cell>
          <cell r="Z1399">
            <v>0</v>
          </cell>
        </row>
        <row r="1400">
          <cell r="D1400">
            <v>41981</v>
          </cell>
          <cell r="U1400">
            <v>3</v>
          </cell>
          <cell r="Z1400">
            <v>0</v>
          </cell>
        </row>
        <row r="1401">
          <cell r="D1401">
            <v>41981</v>
          </cell>
          <cell r="U1401">
            <v>0</v>
          </cell>
          <cell r="Z1401">
            <v>1</v>
          </cell>
        </row>
        <row r="1402">
          <cell r="D1402">
            <v>41981</v>
          </cell>
          <cell r="U1402">
            <v>0</v>
          </cell>
          <cell r="Z1402">
            <v>1</v>
          </cell>
        </row>
        <row r="1403">
          <cell r="D1403">
            <v>41981</v>
          </cell>
          <cell r="U1403">
            <v>1</v>
          </cell>
          <cell r="Z1403">
            <v>0</v>
          </cell>
        </row>
        <row r="1404">
          <cell r="D1404">
            <v>41981</v>
          </cell>
          <cell r="U1404">
            <v>0</v>
          </cell>
          <cell r="Z1404">
            <v>1</v>
          </cell>
        </row>
        <row r="1405">
          <cell r="D1405">
            <v>41981</v>
          </cell>
          <cell r="U1405">
            <v>0</v>
          </cell>
          <cell r="Z1405">
            <v>1</v>
          </cell>
        </row>
        <row r="1406">
          <cell r="D1406">
            <v>41981</v>
          </cell>
          <cell r="U1406">
            <v>3</v>
          </cell>
          <cell r="Z1406">
            <v>0</v>
          </cell>
        </row>
        <row r="1407">
          <cell r="D1407">
            <v>41981</v>
          </cell>
          <cell r="U1407">
            <v>0</v>
          </cell>
          <cell r="Z1407">
            <v>1</v>
          </cell>
        </row>
        <row r="1408">
          <cell r="D1408">
            <v>41981</v>
          </cell>
          <cell r="U1408">
            <v>1</v>
          </cell>
          <cell r="Z1408">
            <v>0</v>
          </cell>
        </row>
        <row r="1409">
          <cell r="D1409">
            <v>41981</v>
          </cell>
          <cell r="U1409">
            <v>2</v>
          </cell>
          <cell r="Z1409">
            <v>0</v>
          </cell>
        </row>
        <row r="1410">
          <cell r="D1410">
            <v>41981</v>
          </cell>
          <cell r="U1410">
            <v>0</v>
          </cell>
          <cell r="Z1410">
            <v>1</v>
          </cell>
        </row>
        <row r="1411">
          <cell r="D1411">
            <v>41981</v>
          </cell>
          <cell r="U1411">
            <v>0</v>
          </cell>
          <cell r="Z1411">
            <v>1</v>
          </cell>
        </row>
        <row r="1412">
          <cell r="D1412">
            <v>41981</v>
          </cell>
          <cell r="U1412">
            <v>0</v>
          </cell>
          <cell r="Z1412">
            <v>1</v>
          </cell>
        </row>
        <row r="1413">
          <cell r="D1413">
            <v>41981</v>
          </cell>
          <cell r="U1413">
            <v>3</v>
          </cell>
          <cell r="Z1413">
            <v>0</v>
          </cell>
        </row>
        <row r="1414">
          <cell r="D1414">
            <v>41981</v>
          </cell>
          <cell r="U1414">
            <v>0</v>
          </cell>
          <cell r="Z1414">
            <v>1</v>
          </cell>
        </row>
        <row r="1415">
          <cell r="D1415">
            <v>41981</v>
          </cell>
          <cell r="U1415">
            <v>1</v>
          </cell>
          <cell r="Z1415">
            <v>0</v>
          </cell>
        </row>
        <row r="1416">
          <cell r="D1416">
            <v>41981</v>
          </cell>
          <cell r="U1416">
            <v>1</v>
          </cell>
          <cell r="Z1416">
            <v>0</v>
          </cell>
        </row>
        <row r="1417">
          <cell r="D1417">
            <v>41981</v>
          </cell>
          <cell r="U1417">
            <v>0</v>
          </cell>
          <cell r="Z1417">
            <v>1</v>
          </cell>
        </row>
        <row r="1418">
          <cell r="D1418">
            <v>41981</v>
          </cell>
          <cell r="U1418">
            <v>0</v>
          </cell>
          <cell r="Z1418">
            <v>1</v>
          </cell>
        </row>
        <row r="1419">
          <cell r="D1419">
            <v>41981</v>
          </cell>
          <cell r="U1419">
            <v>0</v>
          </cell>
          <cell r="Z1419">
            <v>1</v>
          </cell>
        </row>
        <row r="1420">
          <cell r="D1420">
            <v>41981</v>
          </cell>
          <cell r="U1420">
            <v>0</v>
          </cell>
          <cell r="Z1420">
            <v>1</v>
          </cell>
        </row>
        <row r="1421">
          <cell r="D1421">
            <v>41981</v>
          </cell>
          <cell r="U1421">
            <v>2</v>
          </cell>
          <cell r="Z1421">
            <v>0</v>
          </cell>
        </row>
        <row r="1422">
          <cell r="D1422">
            <v>41981</v>
          </cell>
          <cell r="U1422">
            <v>0</v>
          </cell>
          <cell r="Z1422">
            <v>1</v>
          </cell>
        </row>
        <row r="1423">
          <cell r="D1423">
            <v>41981</v>
          </cell>
          <cell r="U1423">
            <v>0</v>
          </cell>
          <cell r="Z1423">
            <v>1</v>
          </cell>
        </row>
        <row r="1424">
          <cell r="D1424">
            <v>41981</v>
          </cell>
          <cell r="U1424">
            <v>2</v>
          </cell>
          <cell r="Z1424">
            <v>0</v>
          </cell>
        </row>
        <row r="1425">
          <cell r="D1425">
            <v>41981</v>
          </cell>
          <cell r="U1425">
            <v>0</v>
          </cell>
          <cell r="Z1425">
            <v>1</v>
          </cell>
        </row>
        <row r="1426">
          <cell r="D1426">
            <v>41981</v>
          </cell>
          <cell r="U1426">
            <v>1</v>
          </cell>
          <cell r="Z1426">
            <v>0</v>
          </cell>
        </row>
        <row r="1427">
          <cell r="D1427">
            <v>41981</v>
          </cell>
          <cell r="U1427">
            <v>0</v>
          </cell>
          <cell r="Z1427">
            <v>1</v>
          </cell>
        </row>
        <row r="1428">
          <cell r="D1428">
            <v>41981</v>
          </cell>
          <cell r="U1428">
            <v>0</v>
          </cell>
          <cell r="Z1428">
            <v>1</v>
          </cell>
        </row>
        <row r="1429">
          <cell r="D1429">
            <v>41981</v>
          </cell>
          <cell r="U1429">
            <v>0</v>
          </cell>
          <cell r="Z1429">
            <v>1</v>
          </cell>
        </row>
        <row r="1430">
          <cell r="D1430">
            <v>41981</v>
          </cell>
          <cell r="U1430">
            <v>0</v>
          </cell>
          <cell r="Z1430">
            <v>1</v>
          </cell>
        </row>
        <row r="1431">
          <cell r="D1431">
            <v>41981</v>
          </cell>
          <cell r="U1431">
            <v>3</v>
          </cell>
          <cell r="Z1431">
            <v>0</v>
          </cell>
        </row>
        <row r="1432">
          <cell r="D1432">
            <v>41982</v>
          </cell>
          <cell r="U1432">
            <v>0</v>
          </cell>
          <cell r="Z1432">
            <v>1</v>
          </cell>
        </row>
        <row r="1433">
          <cell r="D1433">
            <v>41982</v>
          </cell>
          <cell r="U1433">
            <v>0</v>
          </cell>
          <cell r="Z1433">
            <v>1</v>
          </cell>
        </row>
        <row r="1434">
          <cell r="D1434">
            <v>41982</v>
          </cell>
          <cell r="U1434">
            <v>0</v>
          </cell>
          <cell r="Z1434">
            <v>1</v>
          </cell>
        </row>
        <row r="1435">
          <cell r="D1435">
            <v>41982</v>
          </cell>
          <cell r="U1435">
            <v>1</v>
          </cell>
          <cell r="Z1435">
            <v>0</v>
          </cell>
        </row>
        <row r="1436">
          <cell r="D1436">
            <v>41982</v>
          </cell>
          <cell r="U1436">
            <v>0</v>
          </cell>
          <cell r="Z1436">
            <v>1</v>
          </cell>
        </row>
        <row r="1437">
          <cell r="D1437">
            <v>41982</v>
          </cell>
          <cell r="U1437">
            <v>0</v>
          </cell>
          <cell r="Z1437">
            <v>1</v>
          </cell>
        </row>
        <row r="1438">
          <cell r="D1438">
            <v>41982</v>
          </cell>
          <cell r="U1438">
            <v>0</v>
          </cell>
          <cell r="Z1438">
            <v>1</v>
          </cell>
        </row>
        <row r="1439">
          <cell r="D1439">
            <v>41982</v>
          </cell>
          <cell r="U1439">
            <v>2</v>
          </cell>
          <cell r="Z1439">
            <v>0</v>
          </cell>
        </row>
        <row r="1440">
          <cell r="D1440">
            <v>41982</v>
          </cell>
          <cell r="U1440">
            <v>0</v>
          </cell>
          <cell r="Z1440">
            <v>1</v>
          </cell>
        </row>
        <row r="1441">
          <cell r="D1441">
            <v>41982</v>
          </cell>
          <cell r="U1441">
            <v>2</v>
          </cell>
          <cell r="Z1441">
            <v>0</v>
          </cell>
        </row>
        <row r="1442">
          <cell r="D1442">
            <v>41982</v>
          </cell>
          <cell r="U1442">
            <v>0</v>
          </cell>
          <cell r="Z1442">
            <v>1</v>
          </cell>
        </row>
        <row r="1443">
          <cell r="D1443">
            <v>41982</v>
          </cell>
          <cell r="U1443">
            <v>0</v>
          </cell>
          <cell r="Z1443">
            <v>1</v>
          </cell>
        </row>
        <row r="1444">
          <cell r="D1444">
            <v>41982</v>
          </cell>
          <cell r="U1444">
            <v>0</v>
          </cell>
          <cell r="Z1444">
            <v>1</v>
          </cell>
        </row>
        <row r="1445">
          <cell r="D1445">
            <v>41982</v>
          </cell>
          <cell r="U1445">
            <v>1</v>
          </cell>
          <cell r="Z1445">
            <v>0</v>
          </cell>
        </row>
        <row r="1446">
          <cell r="D1446">
            <v>41982</v>
          </cell>
          <cell r="U1446">
            <v>0</v>
          </cell>
          <cell r="Z1446">
            <v>1</v>
          </cell>
        </row>
        <row r="1447">
          <cell r="D1447">
            <v>41982</v>
          </cell>
          <cell r="U1447">
            <v>2</v>
          </cell>
          <cell r="Z1447">
            <v>0</v>
          </cell>
        </row>
        <row r="1448">
          <cell r="D1448">
            <v>41982</v>
          </cell>
          <cell r="U1448">
            <v>0</v>
          </cell>
          <cell r="Z1448">
            <v>1</v>
          </cell>
        </row>
        <row r="1449">
          <cell r="D1449">
            <v>41982</v>
          </cell>
          <cell r="U1449">
            <v>0</v>
          </cell>
          <cell r="Z1449">
            <v>1</v>
          </cell>
        </row>
        <row r="1450">
          <cell r="D1450">
            <v>41982</v>
          </cell>
          <cell r="U1450">
            <v>0</v>
          </cell>
          <cell r="Z1450">
            <v>1</v>
          </cell>
        </row>
        <row r="1451">
          <cell r="D1451">
            <v>41982</v>
          </cell>
          <cell r="U1451">
            <v>0</v>
          </cell>
          <cell r="Z1451">
            <v>1</v>
          </cell>
        </row>
        <row r="1452">
          <cell r="D1452">
            <v>41982</v>
          </cell>
          <cell r="U1452">
            <v>0</v>
          </cell>
          <cell r="Z1452">
            <v>1</v>
          </cell>
        </row>
        <row r="1453">
          <cell r="D1453">
            <v>41982</v>
          </cell>
          <cell r="U1453">
            <v>0</v>
          </cell>
          <cell r="Z1453">
            <v>1</v>
          </cell>
        </row>
        <row r="1454">
          <cell r="D1454">
            <v>41982</v>
          </cell>
          <cell r="U1454">
            <v>0</v>
          </cell>
          <cell r="Z1454">
            <v>1</v>
          </cell>
        </row>
        <row r="1455">
          <cell r="D1455">
            <v>41982</v>
          </cell>
          <cell r="U1455">
            <v>1</v>
          </cell>
          <cell r="Z1455">
            <v>0</v>
          </cell>
        </row>
        <row r="1456">
          <cell r="D1456">
            <v>41982</v>
          </cell>
          <cell r="U1456">
            <v>0</v>
          </cell>
          <cell r="Z1456">
            <v>1</v>
          </cell>
        </row>
        <row r="1457">
          <cell r="D1457">
            <v>41982</v>
          </cell>
          <cell r="U1457">
            <v>0</v>
          </cell>
          <cell r="Z1457">
            <v>1</v>
          </cell>
        </row>
        <row r="1458">
          <cell r="D1458">
            <v>41982</v>
          </cell>
          <cell r="U1458">
            <v>3</v>
          </cell>
          <cell r="Z1458">
            <v>0</v>
          </cell>
        </row>
        <row r="1459">
          <cell r="D1459">
            <v>41982</v>
          </cell>
          <cell r="U1459">
            <v>0</v>
          </cell>
          <cell r="Z1459">
            <v>1</v>
          </cell>
        </row>
        <row r="1460">
          <cell r="D1460">
            <v>41982</v>
          </cell>
          <cell r="U1460">
            <v>1</v>
          </cell>
          <cell r="Z1460">
            <v>0</v>
          </cell>
        </row>
        <row r="1461">
          <cell r="D1461">
            <v>41982</v>
          </cell>
          <cell r="U1461">
            <v>0</v>
          </cell>
          <cell r="Z1461">
            <v>1</v>
          </cell>
        </row>
        <row r="1462">
          <cell r="D1462">
            <v>41982</v>
          </cell>
          <cell r="U1462">
            <v>0</v>
          </cell>
          <cell r="Z1462">
            <v>1</v>
          </cell>
        </row>
        <row r="1463">
          <cell r="D1463">
            <v>41982</v>
          </cell>
          <cell r="U1463">
            <v>0</v>
          </cell>
          <cell r="Z1463">
            <v>1</v>
          </cell>
        </row>
        <row r="1464">
          <cell r="D1464">
            <v>41982</v>
          </cell>
          <cell r="U1464">
            <v>0</v>
          </cell>
          <cell r="Z1464">
            <v>1</v>
          </cell>
        </row>
        <row r="1465">
          <cell r="D1465">
            <v>41982</v>
          </cell>
          <cell r="U1465">
            <v>0</v>
          </cell>
          <cell r="Z1465">
            <v>1</v>
          </cell>
        </row>
        <row r="1466">
          <cell r="D1466">
            <v>41982</v>
          </cell>
          <cell r="U1466">
            <v>1</v>
          </cell>
          <cell r="Z1466">
            <v>0</v>
          </cell>
        </row>
        <row r="1467">
          <cell r="D1467">
            <v>41982</v>
          </cell>
          <cell r="U1467">
            <v>3</v>
          </cell>
          <cell r="Z1467">
            <v>0</v>
          </cell>
        </row>
        <row r="1468">
          <cell r="D1468">
            <v>41982</v>
          </cell>
          <cell r="U1468">
            <v>0</v>
          </cell>
          <cell r="Z1468">
            <v>1</v>
          </cell>
        </row>
        <row r="1469">
          <cell r="D1469">
            <v>41982</v>
          </cell>
          <cell r="U1469">
            <v>2</v>
          </cell>
          <cell r="Z1469">
            <v>0</v>
          </cell>
        </row>
        <row r="1470">
          <cell r="D1470">
            <v>41982</v>
          </cell>
          <cell r="U1470">
            <v>2</v>
          </cell>
          <cell r="Z1470">
            <v>0</v>
          </cell>
        </row>
        <row r="1471">
          <cell r="D1471">
            <v>41982</v>
          </cell>
          <cell r="U1471">
            <v>2</v>
          </cell>
          <cell r="Z1471">
            <v>0</v>
          </cell>
        </row>
        <row r="1472">
          <cell r="D1472">
            <v>41982</v>
          </cell>
          <cell r="U1472">
            <v>1</v>
          </cell>
          <cell r="Z1472">
            <v>0</v>
          </cell>
        </row>
        <row r="1473">
          <cell r="D1473">
            <v>41982</v>
          </cell>
          <cell r="U1473">
            <v>0</v>
          </cell>
          <cell r="Z1473">
            <v>1</v>
          </cell>
        </row>
        <row r="1474">
          <cell r="D1474">
            <v>41982</v>
          </cell>
          <cell r="U1474">
            <v>0</v>
          </cell>
          <cell r="Z1474">
            <v>1</v>
          </cell>
        </row>
        <row r="1475">
          <cell r="D1475">
            <v>41982</v>
          </cell>
          <cell r="U1475">
            <v>1</v>
          </cell>
          <cell r="Z1475">
            <v>0</v>
          </cell>
        </row>
        <row r="1476">
          <cell r="D1476">
            <v>41982</v>
          </cell>
          <cell r="U1476">
            <v>0</v>
          </cell>
          <cell r="Z1476">
            <v>1</v>
          </cell>
        </row>
        <row r="1477">
          <cell r="D1477">
            <v>41982</v>
          </cell>
          <cell r="U1477">
            <v>0</v>
          </cell>
          <cell r="Z1477">
            <v>1</v>
          </cell>
        </row>
        <row r="1478">
          <cell r="D1478">
            <v>41982</v>
          </cell>
          <cell r="U1478">
            <v>0</v>
          </cell>
          <cell r="Z1478">
            <v>1</v>
          </cell>
        </row>
        <row r="1479">
          <cell r="D1479">
            <v>41982</v>
          </cell>
          <cell r="U1479">
            <v>0</v>
          </cell>
          <cell r="Z1479">
            <v>1</v>
          </cell>
        </row>
        <row r="1480">
          <cell r="D1480">
            <v>41982</v>
          </cell>
          <cell r="U1480">
            <v>0</v>
          </cell>
          <cell r="Z1480">
            <v>1</v>
          </cell>
        </row>
        <row r="1481">
          <cell r="D1481">
            <v>41982</v>
          </cell>
          <cell r="U1481">
            <v>0</v>
          </cell>
          <cell r="Z1481">
            <v>1</v>
          </cell>
        </row>
        <row r="1482">
          <cell r="D1482">
            <v>41982</v>
          </cell>
          <cell r="U1482">
            <v>0</v>
          </cell>
          <cell r="Z1482">
            <v>1</v>
          </cell>
        </row>
        <row r="1483">
          <cell r="D1483">
            <v>41982</v>
          </cell>
          <cell r="U1483">
            <v>0</v>
          </cell>
          <cell r="Z1483">
            <v>1</v>
          </cell>
        </row>
        <row r="1484">
          <cell r="D1484">
            <v>41982</v>
          </cell>
          <cell r="U1484">
            <v>1</v>
          </cell>
          <cell r="Z1484">
            <v>0</v>
          </cell>
        </row>
        <row r="1485">
          <cell r="D1485">
            <v>41982</v>
          </cell>
          <cell r="U1485">
            <v>0</v>
          </cell>
          <cell r="Z1485">
            <v>1</v>
          </cell>
        </row>
        <row r="1486">
          <cell r="D1486">
            <v>41982</v>
          </cell>
          <cell r="U1486">
            <v>0</v>
          </cell>
          <cell r="Z1486">
            <v>1</v>
          </cell>
        </row>
        <row r="1487">
          <cell r="D1487">
            <v>41982</v>
          </cell>
          <cell r="U1487">
            <v>0</v>
          </cell>
          <cell r="Z1487">
            <v>1</v>
          </cell>
        </row>
        <row r="1488">
          <cell r="D1488">
            <v>41982</v>
          </cell>
          <cell r="U1488">
            <v>0</v>
          </cell>
          <cell r="Z1488">
            <v>1</v>
          </cell>
        </row>
        <row r="1489">
          <cell r="D1489">
            <v>41982</v>
          </cell>
          <cell r="U1489">
            <v>0</v>
          </cell>
          <cell r="Z1489">
            <v>1</v>
          </cell>
        </row>
        <row r="1490">
          <cell r="D1490">
            <v>41982</v>
          </cell>
          <cell r="U1490">
            <v>0</v>
          </cell>
          <cell r="Z1490">
            <v>1</v>
          </cell>
        </row>
        <row r="1491">
          <cell r="D1491">
            <v>41982</v>
          </cell>
          <cell r="U1491">
            <v>0</v>
          </cell>
          <cell r="Z1491">
            <v>1</v>
          </cell>
        </row>
        <row r="1492">
          <cell r="D1492">
            <v>41982</v>
          </cell>
          <cell r="U1492">
            <v>0</v>
          </cell>
          <cell r="Z1492">
            <v>1</v>
          </cell>
        </row>
        <row r="1493">
          <cell r="D1493">
            <v>41982</v>
          </cell>
          <cell r="U1493">
            <v>0</v>
          </cell>
          <cell r="Z1493">
            <v>1</v>
          </cell>
        </row>
        <row r="1494">
          <cell r="D1494">
            <v>41982</v>
          </cell>
          <cell r="U1494">
            <v>3</v>
          </cell>
          <cell r="Z1494">
            <v>0</v>
          </cell>
        </row>
        <row r="1495">
          <cell r="D1495">
            <v>41982</v>
          </cell>
          <cell r="U1495">
            <v>0</v>
          </cell>
          <cell r="Z1495">
            <v>1</v>
          </cell>
        </row>
        <row r="1496">
          <cell r="D1496">
            <v>41982</v>
          </cell>
          <cell r="U1496">
            <v>1</v>
          </cell>
          <cell r="Z1496">
            <v>0</v>
          </cell>
        </row>
        <row r="1497">
          <cell r="D1497">
            <v>41982</v>
          </cell>
          <cell r="U1497">
            <v>2</v>
          </cell>
          <cell r="Z1497">
            <v>0</v>
          </cell>
        </row>
        <row r="1498">
          <cell r="D1498">
            <v>41982</v>
          </cell>
          <cell r="U1498">
            <v>0</v>
          </cell>
          <cell r="Z1498">
            <v>1</v>
          </cell>
        </row>
        <row r="1499">
          <cell r="D1499">
            <v>41982</v>
          </cell>
          <cell r="U1499">
            <v>0</v>
          </cell>
          <cell r="Z1499">
            <v>1</v>
          </cell>
        </row>
        <row r="1500">
          <cell r="D1500">
            <v>41982</v>
          </cell>
          <cell r="U1500">
            <v>0</v>
          </cell>
          <cell r="Z1500">
            <v>1</v>
          </cell>
        </row>
        <row r="1501">
          <cell r="D1501">
            <v>41982</v>
          </cell>
          <cell r="U1501">
            <v>1</v>
          </cell>
          <cell r="Z1501">
            <v>0</v>
          </cell>
        </row>
        <row r="1502">
          <cell r="D1502">
            <v>41982</v>
          </cell>
          <cell r="U1502">
            <v>3</v>
          </cell>
          <cell r="Z1502">
            <v>0</v>
          </cell>
        </row>
        <row r="1503">
          <cell r="D1503">
            <v>41982</v>
          </cell>
          <cell r="U1503">
            <v>0</v>
          </cell>
          <cell r="Z1503">
            <v>1</v>
          </cell>
        </row>
        <row r="1504">
          <cell r="D1504">
            <v>41982</v>
          </cell>
          <cell r="U1504">
            <v>0</v>
          </cell>
          <cell r="Z1504">
            <v>1</v>
          </cell>
        </row>
        <row r="1505">
          <cell r="D1505">
            <v>41982</v>
          </cell>
          <cell r="U1505">
            <v>0</v>
          </cell>
          <cell r="Z1505">
            <v>1</v>
          </cell>
        </row>
        <row r="1506">
          <cell r="D1506">
            <v>41982</v>
          </cell>
          <cell r="U1506">
            <v>3</v>
          </cell>
          <cell r="Z1506">
            <v>0</v>
          </cell>
        </row>
        <row r="1507">
          <cell r="D1507">
            <v>41982</v>
          </cell>
          <cell r="U1507">
            <v>0</v>
          </cell>
          <cell r="Z1507">
            <v>1</v>
          </cell>
        </row>
        <row r="1508">
          <cell r="D1508">
            <v>41982</v>
          </cell>
          <cell r="U1508">
            <v>0</v>
          </cell>
          <cell r="Z1508">
            <v>1</v>
          </cell>
        </row>
        <row r="1509">
          <cell r="D1509">
            <v>41982</v>
          </cell>
          <cell r="U1509">
            <v>0</v>
          </cell>
          <cell r="Z1509">
            <v>1</v>
          </cell>
        </row>
        <row r="1510">
          <cell r="D1510">
            <v>41982</v>
          </cell>
          <cell r="U1510">
            <v>0</v>
          </cell>
          <cell r="Z1510">
            <v>1</v>
          </cell>
        </row>
        <row r="1511">
          <cell r="D1511">
            <v>41982</v>
          </cell>
          <cell r="U1511">
            <v>3</v>
          </cell>
          <cell r="Z1511">
            <v>0</v>
          </cell>
        </row>
        <row r="1512">
          <cell r="D1512">
            <v>41982</v>
          </cell>
          <cell r="U1512">
            <v>0</v>
          </cell>
          <cell r="Z1512">
            <v>1</v>
          </cell>
        </row>
        <row r="1513">
          <cell r="D1513">
            <v>41982</v>
          </cell>
          <cell r="U1513">
            <v>0</v>
          </cell>
          <cell r="Z1513">
            <v>1</v>
          </cell>
        </row>
        <row r="1514">
          <cell r="D1514">
            <v>41982</v>
          </cell>
          <cell r="U1514">
            <v>0</v>
          </cell>
          <cell r="Z1514">
            <v>1</v>
          </cell>
        </row>
        <row r="1515">
          <cell r="D1515">
            <v>41982</v>
          </cell>
          <cell r="U1515">
            <v>0</v>
          </cell>
          <cell r="Z1515">
            <v>1</v>
          </cell>
        </row>
        <row r="1516">
          <cell r="D1516">
            <v>41982</v>
          </cell>
          <cell r="U1516">
            <v>0</v>
          </cell>
          <cell r="Z1516">
            <v>1</v>
          </cell>
        </row>
        <row r="1517">
          <cell r="D1517">
            <v>41982</v>
          </cell>
          <cell r="U1517">
            <v>3</v>
          </cell>
          <cell r="Z1517">
            <v>0</v>
          </cell>
        </row>
        <row r="1518">
          <cell r="D1518">
            <v>41982</v>
          </cell>
          <cell r="U1518">
            <v>0</v>
          </cell>
          <cell r="Z1518">
            <v>1</v>
          </cell>
        </row>
        <row r="1519">
          <cell r="D1519">
            <v>41982</v>
          </cell>
          <cell r="U1519">
            <v>1</v>
          </cell>
          <cell r="Z1519">
            <v>0</v>
          </cell>
        </row>
        <row r="1520">
          <cell r="D1520">
            <v>41982</v>
          </cell>
          <cell r="U1520">
            <v>0</v>
          </cell>
          <cell r="Z1520">
            <v>1</v>
          </cell>
        </row>
        <row r="1521">
          <cell r="D1521">
            <v>41982</v>
          </cell>
          <cell r="U1521">
            <v>0</v>
          </cell>
          <cell r="Z1521">
            <v>1</v>
          </cell>
        </row>
        <row r="1522">
          <cell r="D1522">
            <v>41982</v>
          </cell>
          <cell r="U1522">
            <v>0</v>
          </cell>
          <cell r="Z1522">
            <v>1</v>
          </cell>
        </row>
        <row r="1523">
          <cell r="D1523">
            <v>41982</v>
          </cell>
          <cell r="U1523">
            <v>0</v>
          </cell>
          <cell r="Z1523">
            <v>1</v>
          </cell>
        </row>
        <row r="1524">
          <cell r="D1524">
            <v>41982</v>
          </cell>
          <cell r="U1524">
            <v>0</v>
          </cell>
          <cell r="Z1524">
            <v>1</v>
          </cell>
        </row>
        <row r="1525">
          <cell r="D1525">
            <v>41982</v>
          </cell>
          <cell r="U1525">
            <v>2</v>
          </cell>
          <cell r="Z1525">
            <v>0</v>
          </cell>
        </row>
        <row r="1526">
          <cell r="D1526">
            <v>41982</v>
          </cell>
          <cell r="U1526">
            <v>0</v>
          </cell>
          <cell r="Z1526">
            <v>1</v>
          </cell>
        </row>
        <row r="1527">
          <cell r="D1527">
            <v>41982</v>
          </cell>
          <cell r="U1527">
            <v>0</v>
          </cell>
          <cell r="Z1527">
            <v>1</v>
          </cell>
        </row>
        <row r="1528">
          <cell r="D1528">
            <v>41982</v>
          </cell>
          <cell r="U1528">
            <v>0</v>
          </cell>
          <cell r="Z1528">
            <v>1</v>
          </cell>
        </row>
        <row r="1529">
          <cell r="D1529">
            <v>41982</v>
          </cell>
          <cell r="U1529">
            <v>1</v>
          </cell>
          <cell r="Z1529">
            <v>0</v>
          </cell>
        </row>
        <row r="1530">
          <cell r="D1530">
            <v>41982</v>
          </cell>
          <cell r="U1530">
            <v>0</v>
          </cell>
          <cell r="Z1530">
            <v>1</v>
          </cell>
        </row>
        <row r="1531">
          <cell r="D1531">
            <v>41982</v>
          </cell>
          <cell r="U1531">
            <v>0</v>
          </cell>
          <cell r="Z1531">
            <v>1</v>
          </cell>
        </row>
        <row r="1532">
          <cell r="D1532">
            <v>41982</v>
          </cell>
          <cell r="U1532">
            <v>1</v>
          </cell>
          <cell r="Z1532">
            <v>0</v>
          </cell>
        </row>
        <row r="1533">
          <cell r="D1533">
            <v>41982</v>
          </cell>
          <cell r="U1533">
            <v>0</v>
          </cell>
          <cell r="Z1533">
            <v>1</v>
          </cell>
        </row>
        <row r="1534">
          <cell r="D1534">
            <v>41982</v>
          </cell>
          <cell r="U1534">
            <v>0</v>
          </cell>
          <cell r="Z1534">
            <v>1</v>
          </cell>
        </row>
        <row r="1535">
          <cell r="D1535">
            <v>41982</v>
          </cell>
          <cell r="U1535">
            <v>1</v>
          </cell>
          <cell r="Z1535">
            <v>0</v>
          </cell>
        </row>
        <row r="1536">
          <cell r="D1536">
            <v>41982</v>
          </cell>
          <cell r="U1536">
            <v>0</v>
          </cell>
          <cell r="Z1536">
            <v>1</v>
          </cell>
        </row>
        <row r="1537">
          <cell r="D1537">
            <v>41982</v>
          </cell>
          <cell r="U1537">
            <v>0</v>
          </cell>
          <cell r="Z1537">
            <v>1</v>
          </cell>
        </row>
        <row r="1538">
          <cell r="D1538">
            <v>41982</v>
          </cell>
          <cell r="U1538">
            <v>0</v>
          </cell>
          <cell r="Z1538">
            <v>1</v>
          </cell>
        </row>
        <row r="1539">
          <cell r="D1539">
            <v>41982</v>
          </cell>
          <cell r="U1539">
            <v>0</v>
          </cell>
          <cell r="Z1539">
            <v>1</v>
          </cell>
        </row>
        <row r="1540">
          <cell r="D1540">
            <v>41982</v>
          </cell>
          <cell r="U1540">
            <v>0</v>
          </cell>
          <cell r="Z1540">
            <v>1</v>
          </cell>
        </row>
        <row r="1541">
          <cell r="D1541">
            <v>41982</v>
          </cell>
          <cell r="U1541">
            <v>0</v>
          </cell>
          <cell r="Z1541">
            <v>1</v>
          </cell>
        </row>
        <row r="1542">
          <cell r="D1542">
            <v>41982</v>
          </cell>
          <cell r="U1542">
            <v>1</v>
          </cell>
          <cell r="Z1542">
            <v>0</v>
          </cell>
        </row>
        <row r="1543">
          <cell r="D1543">
            <v>41982</v>
          </cell>
          <cell r="U1543">
            <v>0</v>
          </cell>
          <cell r="Z1543">
            <v>1</v>
          </cell>
        </row>
        <row r="1544">
          <cell r="D1544">
            <v>41982</v>
          </cell>
          <cell r="U1544">
            <v>0</v>
          </cell>
          <cell r="Z1544">
            <v>1</v>
          </cell>
        </row>
        <row r="1545">
          <cell r="D1545">
            <v>41982</v>
          </cell>
          <cell r="U1545">
            <v>1</v>
          </cell>
          <cell r="Z1545">
            <v>0</v>
          </cell>
        </row>
        <row r="1546">
          <cell r="D1546">
            <v>41982</v>
          </cell>
          <cell r="U1546">
            <v>1</v>
          </cell>
          <cell r="Z1546">
            <v>0</v>
          </cell>
        </row>
        <row r="1547">
          <cell r="D1547">
            <v>41982</v>
          </cell>
          <cell r="U1547">
            <v>3</v>
          </cell>
          <cell r="Z1547">
            <v>0</v>
          </cell>
        </row>
        <row r="1548">
          <cell r="D1548">
            <v>41982</v>
          </cell>
          <cell r="U1548">
            <v>0</v>
          </cell>
          <cell r="Z1548">
            <v>1</v>
          </cell>
        </row>
        <row r="1549">
          <cell r="D1549">
            <v>41982</v>
          </cell>
          <cell r="U1549">
            <v>0</v>
          </cell>
          <cell r="Z1549">
            <v>1</v>
          </cell>
        </row>
        <row r="1550">
          <cell r="D1550">
            <v>41982</v>
          </cell>
          <cell r="U1550">
            <v>0</v>
          </cell>
          <cell r="Z1550">
            <v>1</v>
          </cell>
        </row>
        <row r="1551">
          <cell r="D1551">
            <v>41982</v>
          </cell>
          <cell r="U1551">
            <v>0</v>
          </cell>
          <cell r="Z1551">
            <v>1</v>
          </cell>
        </row>
        <row r="1552">
          <cell r="D1552">
            <v>41982</v>
          </cell>
          <cell r="U1552">
            <v>3</v>
          </cell>
          <cell r="Z1552">
            <v>0</v>
          </cell>
        </row>
        <row r="1553">
          <cell r="D1553">
            <v>41982</v>
          </cell>
          <cell r="U1553">
            <v>2</v>
          </cell>
          <cell r="Z1553">
            <v>0</v>
          </cell>
        </row>
        <row r="1554">
          <cell r="D1554">
            <v>41982</v>
          </cell>
          <cell r="U1554">
            <v>2</v>
          </cell>
          <cell r="Z1554">
            <v>0</v>
          </cell>
        </row>
        <row r="1555">
          <cell r="D1555">
            <v>41982</v>
          </cell>
          <cell r="U1555">
            <v>0</v>
          </cell>
          <cell r="Z1555">
            <v>1</v>
          </cell>
        </row>
        <row r="1556">
          <cell r="D1556">
            <v>41982</v>
          </cell>
          <cell r="U1556">
            <v>3</v>
          </cell>
          <cell r="Z1556">
            <v>0</v>
          </cell>
        </row>
        <row r="1557">
          <cell r="D1557">
            <v>41982</v>
          </cell>
          <cell r="U1557">
            <v>0</v>
          </cell>
          <cell r="Z1557">
            <v>1</v>
          </cell>
        </row>
        <row r="1558">
          <cell r="D1558">
            <v>41982</v>
          </cell>
          <cell r="U1558">
            <v>1</v>
          </cell>
          <cell r="Z1558">
            <v>0</v>
          </cell>
        </row>
        <row r="1559">
          <cell r="D1559">
            <v>41982</v>
          </cell>
          <cell r="U1559">
            <v>2</v>
          </cell>
          <cell r="Z1559">
            <v>0</v>
          </cell>
        </row>
        <row r="1560">
          <cell r="D1560">
            <v>41982</v>
          </cell>
          <cell r="U1560">
            <v>2</v>
          </cell>
          <cell r="Z1560">
            <v>0</v>
          </cell>
        </row>
        <row r="1561">
          <cell r="D1561">
            <v>41982</v>
          </cell>
          <cell r="U1561">
            <v>1</v>
          </cell>
          <cell r="Z1561">
            <v>0</v>
          </cell>
        </row>
        <row r="1562">
          <cell r="D1562">
            <v>41982</v>
          </cell>
          <cell r="U1562">
            <v>0</v>
          </cell>
          <cell r="Z1562">
            <v>1</v>
          </cell>
        </row>
        <row r="1563">
          <cell r="D1563">
            <v>41982</v>
          </cell>
          <cell r="U1563">
            <v>0</v>
          </cell>
          <cell r="Z1563">
            <v>1</v>
          </cell>
        </row>
        <row r="1564">
          <cell r="D1564">
            <v>41982</v>
          </cell>
          <cell r="U1564">
            <v>0</v>
          </cell>
          <cell r="Z1564">
            <v>1</v>
          </cell>
        </row>
        <row r="1565">
          <cell r="D1565">
            <v>41982</v>
          </cell>
          <cell r="U1565">
            <v>0</v>
          </cell>
          <cell r="Z1565">
            <v>1</v>
          </cell>
        </row>
        <row r="1566">
          <cell r="D1566">
            <v>41982</v>
          </cell>
          <cell r="U1566">
            <v>0</v>
          </cell>
          <cell r="Z1566">
            <v>1</v>
          </cell>
        </row>
        <row r="1567">
          <cell r="D1567">
            <v>41982</v>
          </cell>
          <cell r="U1567">
            <v>3</v>
          </cell>
          <cell r="Z1567">
            <v>0</v>
          </cell>
        </row>
        <row r="1568">
          <cell r="D1568">
            <v>41982</v>
          </cell>
          <cell r="U1568">
            <v>0</v>
          </cell>
          <cell r="Z1568">
            <v>1</v>
          </cell>
        </row>
        <row r="1569">
          <cell r="D1569">
            <v>41982</v>
          </cell>
          <cell r="U1569">
            <v>3</v>
          </cell>
          <cell r="Z1569">
            <v>0</v>
          </cell>
        </row>
        <row r="1570">
          <cell r="D1570">
            <v>41982</v>
          </cell>
          <cell r="U1570">
            <v>0</v>
          </cell>
          <cell r="Z1570">
            <v>1</v>
          </cell>
        </row>
        <row r="1571">
          <cell r="D1571">
            <v>41982</v>
          </cell>
          <cell r="U1571">
            <v>0</v>
          </cell>
          <cell r="Z1571">
            <v>1</v>
          </cell>
        </row>
        <row r="1572">
          <cell r="D1572">
            <v>41982</v>
          </cell>
          <cell r="U1572">
            <v>0</v>
          </cell>
          <cell r="Z1572">
            <v>1</v>
          </cell>
        </row>
        <row r="1573">
          <cell r="D1573">
            <v>41982</v>
          </cell>
          <cell r="U1573">
            <v>1</v>
          </cell>
          <cell r="Z1573">
            <v>0</v>
          </cell>
        </row>
        <row r="1574">
          <cell r="D1574">
            <v>41982</v>
          </cell>
          <cell r="U1574">
            <v>0</v>
          </cell>
          <cell r="Z1574">
            <v>1</v>
          </cell>
        </row>
        <row r="1575">
          <cell r="D1575">
            <v>41982</v>
          </cell>
          <cell r="U1575">
            <v>0</v>
          </cell>
          <cell r="Z1575">
            <v>1</v>
          </cell>
        </row>
        <row r="1576">
          <cell r="D1576">
            <v>41982</v>
          </cell>
          <cell r="U1576">
            <v>0</v>
          </cell>
          <cell r="Z1576">
            <v>1</v>
          </cell>
        </row>
        <row r="1577">
          <cell r="D1577">
            <v>41982</v>
          </cell>
          <cell r="U1577">
            <v>0</v>
          </cell>
          <cell r="Z1577">
            <v>1</v>
          </cell>
        </row>
        <row r="1578">
          <cell r="D1578">
            <v>41982</v>
          </cell>
          <cell r="U1578">
            <v>0</v>
          </cell>
          <cell r="Z1578">
            <v>1</v>
          </cell>
        </row>
        <row r="1579">
          <cell r="D1579">
            <v>41982</v>
          </cell>
          <cell r="U1579">
            <v>0</v>
          </cell>
          <cell r="Z1579">
            <v>1</v>
          </cell>
        </row>
        <row r="1580">
          <cell r="D1580">
            <v>41982</v>
          </cell>
          <cell r="U1580">
            <v>0</v>
          </cell>
          <cell r="Z1580">
            <v>1</v>
          </cell>
        </row>
        <row r="1581">
          <cell r="D1581">
            <v>41982</v>
          </cell>
          <cell r="U1581">
            <v>2</v>
          </cell>
          <cell r="Z1581">
            <v>0</v>
          </cell>
        </row>
        <row r="1582">
          <cell r="D1582">
            <v>41982</v>
          </cell>
          <cell r="U1582">
            <v>0</v>
          </cell>
          <cell r="Z1582">
            <v>1</v>
          </cell>
        </row>
        <row r="1583">
          <cell r="D1583">
            <v>41982</v>
          </cell>
          <cell r="U1583">
            <v>0</v>
          </cell>
          <cell r="Z1583">
            <v>1</v>
          </cell>
        </row>
        <row r="1584">
          <cell r="D1584">
            <v>41982</v>
          </cell>
          <cell r="U1584">
            <v>0</v>
          </cell>
          <cell r="Z1584">
            <v>1</v>
          </cell>
        </row>
        <row r="1585">
          <cell r="D1585">
            <v>41982</v>
          </cell>
          <cell r="U1585">
            <v>0</v>
          </cell>
          <cell r="Z1585">
            <v>1</v>
          </cell>
        </row>
        <row r="1586">
          <cell r="D1586">
            <v>41982</v>
          </cell>
          <cell r="U1586">
            <v>0</v>
          </cell>
          <cell r="Z1586">
            <v>1</v>
          </cell>
        </row>
        <row r="1587">
          <cell r="D1587">
            <v>41982</v>
          </cell>
          <cell r="U1587">
            <v>0</v>
          </cell>
          <cell r="Z1587">
            <v>1</v>
          </cell>
        </row>
        <row r="1588">
          <cell r="D1588">
            <v>41982</v>
          </cell>
          <cell r="U1588">
            <v>2</v>
          </cell>
          <cell r="Z1588">
            <v>0</v>
          </cell>
        </row>
        <row r="1589">
          <cell r="D1589">
            <v>41982</v>
          </cell>
          <cell r="U1589">
            <v>0</v>
          </cell>
          <cell r="Z1589">
            <v>1</v>
          </cell>
        </row>
        <row r="1590">
          <cell r="D1590">
            <v>41982</v>
          </cell>
          <cell r="U1590">
            <v>0</v>
          </cell>
          <cell r="Z1590">
            <v>1</v>
          </cell>
        </row>
        <row r="1591">
          <cell r="D1591">
            <v>41982</v>
          </cell>
          <cell r="U1591">
            <v>1</v>
          </cell>
          <cell r="Z1591">
            <v>0</v>
          </cell>
        </row>
        <row r="1592">
          <cell r="D1592">
            <v>41982</v>
          </cell>
          <cell r="U1592">
            <v>0</v>
          </cell>
          <cell r="Z1592">
            <v>1</v>
          </cell>
        </row>
        <row r="1593">
          <cell r="D1593">
            <v>41982</v>
          </cell>
          <cell r="U1593">
            <v>2</v>
          </cell>
          <cell r="Z1593">
            <v>0</v>
          </cell>
        </row>
        <row r="1594">
          <cell r="D1594">
            <v>41982</v>
          </cell>
          <cell r="U1594">
            <v>3</v>
          </cell>
          <cell r="Z1594">
            <v>0</v>
          </cell>
        </row>
        <row r="1595">
          <cell r="D1595">
            <v>41983</v>
          </cell>
          <cell r="U1595">
            <v>0</v>
          </cell>
          <cell r="Z1595">
            <v>1</v>
          </cell>
        </row>
        <row r="1596">
          <cell r="D1596">
            <v>41983</v>
          </cell>
          <cell r="U1596">
            <v>1</v>
          </cell>
          <cell r="Z1596">
            <v>0</v>
          </cell>
        </row>
        <row r="1597">
          <cell r="D1597">
            <v>41983</v>
          </cell>
          <cell r="U1597">
            <v>3</v>
          </cell>
          <cell r="Z1597">
            <v>0</v>
          </cell>
        </row>
        <row r="1598">
          <cell r="D1598">
            <v>41983</v>
          </cell>
          <cell r="U1598">
            <v>0</v>
          </cell>
          <cell r="Z1598">
            <v>1</v>
          </cell>
        </row>
        <row r="1599">
          <cell r="D1599">
            <v>41983</v>
          </cell>
          <cell r="U1599">
            <v>0</v>
          </cell>
          <cell r="Z1599">
            <v>1</v>
          </cell>
        </row>
        <row r="1600">
          <cell r="D1600">
            <v>41983</v>
          </cell>
          <cell r="U1600">
            <v>0</v>
          </cell>
          <cell r="Z1600">
            <v>1</v>
          </cell>
        </row>
        <row r="1601">
          <cell r="D1601">
            <v>41983</v>
          </cell>
          <cell r="U1601">
            <v>0</v>
          </cell>
          <cell r="Z1601">
            <v>1</v>
          </cell>
        </row>
        <row r="1602">
          <cell r="D1602">
            <v>41983</v>
          </cell>
          <cell r="U1602">
            <v>2</v>
          </cell>
          <cell r="Z1602">
            <v>0</v>
          </cell>
        </row>
        <row r="1603">
          <cell r="D1603">
            <v>41983</v>
          </cell>
          <cell r="U1603">
            <v>0</v>
          </cell>
          <cell r="Z1603">
            <v>1</v>
          </cell>
        </row>
        <row r="1604">
          <cell r="D1604">
            <v>41983</v>
          </cell>
          <cell r="U1604">
            <v>1</v>
          </cell>
          <cell r="Z1604">
            <v>0</v>
          </cell>
        </row>
        <row r="1605">
          <cell r="D1605">
            <v>41983</v>
          </cell>
          <cell r="U1605">
            <v>0</v>
          </cell>
          <cell r="Z1605">
            <v>1</v>
          </cell>
        </row>
        <row r="1606">
          <cell r="D1606">
            <v>41983</v>
          </cell>
          <cell r="U1606">
            <v>0</v>
          </cell>
          <cell r="Z1606">
            <v>1</v>
          </cell>
        </row>
        <row r="1607">
          <cell r="D1607">
            <v>41983</v>
          </cell>
          <cell r="U1607">
            <v>0</v>
          </cell>
          <cell r="Z1607">
            <v>1</v>
          </cell>
        </row>
        <row r="1608">
          <cell r="D1608">
            <v>41983</v>
          </cell>
          <cell r="U1608">
            <v>0</v>
          </cell>
          <cell r="Z1608">
            <v>1</v>
          </cell>
        </row>
        <row r="1609">
          <cell r="D1609">
            <v>41983</v>
          </cell>
          <cell r="U1609">
            <v>0</v>
          </cell>
          <cell r="Z1609">
            <v>1</v>
          </cell>
        </row>
        <row r="1610">
          <cell r="D1610">
            <v>41983</v>
          </cell>
          <cell r="U1610">
            <v>0</v>
          </cell>
          <cell r="Z1610">
            <v>1</v>
          </cell>
        </row>
        <row r="1611">
          <cell r="D1611">
            <v>41983</v>
          </cell>
          <cell r="U1611">
            <v>0</v>
          </cell>
          <cell r="Z1611">
            <v>1</v>
          </cell>
        </row>
        <row r="1612">
          <cell r="D1612">
            <v>41983</v>
          </cell>
          <cell r="U1612">
            <v>0</v>
          </cell>
          <cell r="Z1612">
            <v>1</v>
          </cell>
        </row>
        <row r="1613">
          <cell r="D1613">
            <v>41983</v>
          </cell>
          <cell r="U1613">
            <v>0</v>
          </cell>
          <cell r="Z1613">
            <v>1</v>
          </cell>
        </row>
        <row r="1614">
          <cell r="D1614">
            <v>41983</v>
          </cell>
          <cell r="U1614">
            <v>0</v>
          </cell>
          <cell r="Z1614">
            <v>1</v>
          </cell>
        </row>
        <row r="1615">
          <cell r="D1615">
            <v>41983</v>
          </cell>
          <cell r="U1615">
            <v>0</v>
          </cell>
          <cell r="Z1615">
            <v>1</v>
          </cell>
        </row>
        <row r="1616">
          <cell r="D1616">
            <v>41983</v>
          </cell>
          <cell r="U1616">
            <v>2</v>
          </cell>
          <cell r="Z1616">
            <v>0</v>
          </cell>
        </row>
        <row r="1617">
          <cell r="D1617">
            <v>41983</v>
          </cell>
          <cell r="U1617">
            <v>1</v>
          </cell>
          <cell r="Z1617">
            <v>0</v>
          </cell>
        </row>
        <row r="1618">
          <cell r="D1618">
            <v>41983</v>
          </cell>
          <cell r="U1618">
            <v>1</v>
          </cell>
          <cell r="Z1618">
            <v>0</v>
          </cell>
        </row>
        <row r="1619">
          <cell r="D1619">
            <v>41983</v>
          </cell>
          <cell r="U1619">
            <v>0</v>
          </cell>
          <cell r="Z1619">
            <v>1</v>
          </cell>
        </row>
        <row r="1620">
          <cell r="D1620">
            <v>41983</v>
          </cell>
          <cell r="U1620">
            <v>0</v>
          </cell>
          <cell r="Z1620">
            <v>1</v>
          </cell>
        </row>
        <row r="1621">
          <cell r="D1621">
            <v>41983</v>
          </cell>
          <cell r="U1621">
            <v>3</v>
          </cell>
          <cell r="Z1621">
            <v>0</v>
          </cell>
        </row>
        <row r="1622">
          <cell r="D1622">
            <v>41983</v>
          </cell>
          <cell r="U1622">
            <v>0</v>
          </cell>
          <cell r="Z1622">
            <v>1</v>
          </cell>
        </row>
        <row r="1623">
          <cell r="D1623">
            <v>41983</v>
          </cell>
          <cell r="U1623">
            <v>0</v>
          </cell>
          <cell r="Z1623">
            <v>1</v>
          </cell>
        </row>
        <row r="1624">
          <cell r="D1624">
            <v>41983</v>
          </cell>
          <cell r="U1624">
            <v>0</v>
          </cell>
          <cell r="Z1624">
            <v>1</v>
          </cell>
        </row>
        <row r="1625">
          <cell r="D1625">
            <v>41983</v>
          </cell>
          <cell r="U1625">
            <v>1</v>
          </cell>
          <cell r="Z1625">
            <v>0</v>
          </cell>
        </row>
        <row r="1626">
          <cell r="D1626">
            <v>41983</v>
          </cell>
          <cell r="U1626">
            <v>0</v>
          </cell>
          <cell r="Z1626">
            <v>1</v>
          </cell>
        </row>
        <row r="1627">
          <cell r="D1627">
            <v>41983</v>
          </cell>
          <cell r="U1627">
            <v>0</v>
          </cell>
          <cell r="Z1627">
            <v>1</v>
          </cell>
        </row>
        <row r="1628">
          <cell r="D1628">
            <v>41983</v>
          </cell>
          <cell r="U1628">
            <v>0</v>
          </cell>
          <cell r="Z1628">
            <v>1</v>
          </cell>
        </row>
        <row r="1629">
          <cell r="D1629">
            <v>41983</v>
          </cell>
          <cell r="U1629">
            <v>0</v>
          </cell>
          <cell r="Z1629">
            <v>1</v>
          </cell>
        </row>
        <row r="1630">
          <cell r="D1630">
            <v>41983</v>
          </cell>
          <cell r="U1630">
            <v>0</v>
          </cell>
          <cell r="Z1630">
            <v>1</v>
          </cell>
        </row>
        <row r="1631">
          <cell r="D1631">
            <v>41983</v>
          </cell>
          <cell r="U1631">
            <v>0</v>
          </cell>
          <cell r="Z1631">
            <v>1</v>
          </cell>
        </row>
        <row r="1632">
          <cell r="D1632">
            <v>41983</v>
          </cell>
          <cell r="U1632">
            <v>0</v>
          </cell>
          <cell r="Z1632">
            <v>1</v>
          </cell>
        </row>
        <row r="1633">
          <cell r="D1633">
            <v>41983</v>
          </cell>
          <cell r="U1633">
            <v>0</v>
          </cell>
          <cell r="Z1633">
            <v>1</v>
          </cell>
        </row>
        <row r="1634">
          <cell r="D1634">
            <v>41983</v>
          </cell>
          <cell r="U1634">
            <v>0</v>
          </cell>
          <cell r="Z1634">
            <v>1</v>
          </cell>
        </row>
        <row r="1635">
          <cell r="D1635">
            <v>41983</v>
          </cell>
          <cell r="U1635">
            <v>0</v>
          </cell>
          <cell r="Z1635">
            <v>1</v>
          </cell>
        </row>
        <row r="1636">
          <cell r="D1636">
            <v>41983</v>
          </cell>
          <cell r="U1636">
            <v>0</v>
          </cell>
          <cell r="Z1636">
            <v>1</v>
          </cell>
        </row>
        <row r="1637">
          <cell r="D1637">
            <v>41983</v>
          </cell>
          <cell r="U1637">
            <v>2</v>
          </cell>
          <cell r="Z1637">
            <v>0</v>
          </cell>
        </row>
        <row r="1638">
          <cell r="D1638">
            <v>41983</v>
          </cell>
          <cell r="U1638">
            <v>0</v>
          </cell>
          <cell r="Z1638">
            <v>1</v>
          </cell>
        </row>
        <row r="1639">
          <cell r="D1639">
            <v>41983</v>
          </cell>
          <cell r="U1639">
            <v>0</v>
          </cell>
          <cell r="Z1639">
            <v>1</v>
          </cell>
        </row>
        <row r="1640">
          <cell r="D1640">
            <v>41983</v>
          </cell>
          <cell r="U1640">
            <v>0</v>
          </cell>
          <cell r="Z1640">
            <v>1</v>
          </cell>
        </row>
        <row r="1641">
          <cell r="D1641">
            <v>41983</v>
          </cell>
          <cell r="U1641">
            <v>0</v>
          </cell>
          <cell r="Z1641">
            <v>1</v>
          </cell>
        </row>
        <row r="1642">
          <cell r="D1642">
            <v>41983</v>
          </cell>
          <cell r="U1642">
            <v>0</v>
          </cell>
          <cell r="Z1642">
            <v>1</v>
          </cell>
        </row>
        <row r="1643">
          <cell r="D1643">
            <v>41983</v>
          </cell>
          <cell r="U1643">
            <v>2</v>
          </cell>
          <cell r="Z1643">
            <v>0</v>
          </cell>
        </row>
        <row r="1644">
          <cell r="D1644">
            <v>41983</v>
          </cell>
          <cell r="U1644">
            <v>2</v>
          </cell>
          <cell r="Z1644">
            <v>0</v>
          </cell>
        </row>
        <row r="1645">
          <cell r="D1645">
            <v>41983</v>
          </cell>
          <cell r="U1645">
            <v>1</v>
          </cell>
          <cell r="Z1645">
            <v>0</v>
          </cell>
        </row>
        <row r="1646">
          <cell r="D1646">
            <v>41983</v>
          </cell>
          <cell r="U1646">
            <v>3</v>
          </cell>
          <cell r="Z1646">
            <v>0</v>
          </cell>
        </row>
        <row r="1647">
          <cell r="D1647">
            <v>41983</v>
          </cell>
          <cell r="U1647">
            <v>2</v>
          </cell>
          <cell r="Z1647">
            <v>0</v>
          </cell>
        </row>
        <row r="1648">
          <cell r="D1648">
            <v>41983</v>
          </cell>
          <cell r="U1648">
            <v>0</v>
          </cell>
          <cell r="Z1648">
            <v>1</v>
          </cell>
        </row>
        <row r="1649">
          <cell r="D1649">
            <v>41983</v>
          </cell>
          <cell r="U1649">
            <v>0</v>
          </cell>
          <cell r="Z1649">
            <v>1</v>
          </cell>
        </row>
        <row r="1650">
          <cell r="D1650">
            <v>41983</v>
          </cell>
          <cell r="U1650">
            <v>0</v>
          </cell>
          <cell r="Z1650">
            <v>1</v>
          </cell>
        </row>
        <row r="1651">
          <cell r="D1651">
            <v>41983</v>
          </cell>
          <cell r="U1651">
            <v>0</v>
          </cell>
          <cell r="Z1651">
            <v>1</v>
          </cell>
        </row>
        <row r="1652">
          <cell r="D1652">
            <v>41983</v>
          </cell>
          <cell r="U1652">
            <v>2</v>
          </cell>
          <cell r="Z1652">
            <v>0</v>
          </cell>
        </row>
        <row r="1653">
          <cell r="D1653">
            <v>41983</v>
          </cell>
          <cell r="U1653">
            <v>0</v>
          </cell>
          <cell r="Z1653">
            <v>1</v>
          </cell>
        </row>
        <row r="1654">
          <cell r="D1654">
            <v>41983</v>
          </cell>
          <cell r="U1654">
            <v>3</v>
          </cell>
          <cell r="Z1654">
            <v>0</v>
          </cell>
        </row>
        <row r="1655">
          <cell r="D1655">
            <v>41983</v>
          </cell>
          <cell r="U1655">
            <v>0</v>
          </cell>
          <cell r="Z1655">
            <v>1</v>
          </cell>
        </row>
        <row r="1656">
          <cell r="D1656">
            <v>41983</v>
          </cell>
          <cell r="U1656">
            <v>0</v>
          </cell>
          <cell r="Z1656">
            <v>1</v>
          </cell>
        </row>
        <row r="1657">
          <cell r="D1657">
            <v>41983</v>
          </cell>
          <cell r="U1657">
            <v>0</v>
          </cell>
          <cell r="Z1657">
            <v>1</v>
          </cell>
        </row>
        <row r="1658">
          <cell r="D1658">
            <v>41983</v>
          </cell>
          <cell r="U1658">
            <v>1</v>
          </cell>
          <cell r="Z1658">
            <v>0</v>
          </cell>
        </row>
        <row r="1659">
          <cell r="D1659">
            <v>41983</v>
          </cell>
          <cell r="U1659">
            <v>0</v>
          </cell>
          <cell r="Z1659">
            <v>1</v>
          </cell>
        </row>
        <row r="1660">
          <cell r="D1660">
            <v>41983</v>
          </cell>
          <cell r="U1660">
            <v>0</v>
          </cell>
          <cell r="Z1660">
            <v>1</v>
          </cell>
        </row>
        <row r="1661">
          <cell r="D1661">
            <v>41983</v>
          </cell>
          <cell r="U1661">
            <v>0</v>
          </cell>
          <cell r="Z1661">
            <v>1</v>
          </cell>
        </row>
        <row r="1662">
          <cell r="D1662">
            <v>41983</v>
          </cell>
          <cell r="U1662">
            <v>3</v>
          </cell>
          <cell r="Z1662">
            <v>0</v>
          </cell>
        </row>
        <row r="1663">
          <cell r="D1663">
            <v>41983</v>
          </cell>
          <cell r="U1663">
            <v>0</v>
          </cell>
          <cell r="Z1663">
            <v>1</v>
          </cell>
        </row>
        <row r="1664">
          <cell r="D1664">
            <v>41983</v>
          </cell>
          <cell r="U1664">
            <v>0</v>
          </cell>
          <cell r="Z1664">
            <v>1</v>
          </cell>
        </row>
        <row r="1665">
          <cell r="D1665">
            <v>41983</v>
          </cell>
          <cell r="U1665">
            <v>0</v>
          </cell>
          <cell r="Z1665">
            <v>1</v>
          </cell>
        </row>
        <row r="1666">
          <cell r="D1666">
            <v>41983</v>
          </cell>
          <cell r="U1666">
            <v>0</v>
          </cell>
          <cell r="Z1666">
            <v>1</v>
          </cell>
        </row>
        <row r="1667">
          <cell r="D1667">
            <v>41983</v>
          </cell>
          <cell r="U1667">
            <v>1</v>
          </cell>
          <cell r="Z1667">
            <v>0</v>
          </cell>
        </row>
        <row r="1668">
          <cell r="D1668">
            <v>41983</v>
          </cell>
          <cell r="U1668">
            <v>2</v>
          </cell>
          <cell r="Z1668">
            <v>0</v>
          </cell>
        </row>
        <row r="1669">
          <cell r="D1669">
            <v>41983</v>
          </cell>
          <cell r="U1669">
            <v>0</v>
          </cell>
          <cell r="Z1669">
            <v>1</v>
          </cell>
        </row>
        <row r="1670">
          <cell r="D1670">
            <v>41983</v>
          </cell>
          <cell r="U1670">
            <v>0</v>
          </cell>
          <cell r="Z1670">
            <v>1</v>
          </cell>
        </row>
        <row r="1671">
          <cell r="D1671">
            <v>41983</v>
          </cell>
          <cell r="U1671">
            <v>0</v>
          </cell>
          <cell r="Z1671">
            <v>1</v>
          </cell>
        </row>
        <row r="1672">
          <cell r="D1672">
            <v>41983</v>
          </cell>
          <cell r="U1672">
            <v>0</v>
          </cell>
          <cell r="Z1672">
            <v>1</v>
          </cell>
        </row>
        <row r="1673">
          <cell r="D1673">
            <v>41983</v>
          </cell>
          <cell r="U1673">
            <v>0</v>
          </cell>
          <cell r="Z1673">
            <v>1</v>
          </cell>
        </row>
        <row r="1674">
          <cell r="D1674">
            <v>41983</v>
          </cell>
          <cell r="U1674">
            <v>0</v>
          </cell>
          <cell r="Z1674">
            <v>1</v>
          </cell>
        </row>
        <row r="1675">
          <cell r="D1675">
            <v>41983</v>
          </cell>
          <cell r="U1675">
            <v>0</v>
          </cell>
          <cell r="Z1675">
            <v>1</v>
          </cell>
        </row>
        <row r="1676">
          <cell r="D1676">
            <v>41983</v>
          </cell>
          <cell r="U1676">
            <v>0</v>
          </cell>
          <cell r="Z1676">
            <v>1</v>
          </cell>
        </row>
        <row r="1677">
          <cell r="D1677">
            <v>41983</v>
          </cell>
          <cell r="U1677">
            <v>0</v>
          </cell>
          <cell r="Z1677">
            <v>1</v>
          </cell>
        </row>
        <row r="1678">
          <cell r="D1678">
            <v>41983</v>
          </cell>
          <cell r="U1678">
            <v>0</v>
          </cell>
          <cell r="Z1678">
            <v>1</v>
          </cell>
        </row>
        <row r="1679">
          <cell r="D1679">
            <v>41983</v>
          </cell>
          <cell r="U1679">
            <v>0</v>
          </cell>
          <cell r="Z1679">
            <v>1</v>
          </cell>
        </row>
        <row r="1680">
          <cell r="D1680">
            <v>41983</v>
          </cell>
          <cell r="U1680">
            <v>0</v>
          </cell>
          <cell r="Z1680">
            <v>1</v>
          </cell>
        </row>
        <row r="1681">
          <cell r="D1681">
            <v>41983</v>
          </cell>
          <cell r="U1681">
            <v>0</v>
          </cell>
          <cell r="Z1681">
            <v>1</v>
          </cell>
        </row>
        <row r="1682">
          <cell r="D1682">
            <v>41983</v>
          </cell>
          <cell r="U1682">
            <v>1</v>
          </cell>
          <cell r="Z1682">
            <v>0</v>
          </cell>
        </row>
        <row r="1683">
          <cell r="D1683">
            <v>41983</v>
          </cell>
          <cell r="U1683">
            <v>0</v>
          </cell>
          <cell r="Z1683">
            <v>1</v>
          </cell>
        </row>
        <row r="1684">
          <cell r="D1684">
            <v>41983</v>
          </cell>
          <cell r="U1684">
            <v>0</v>
          </cell>
          <cell r="Z1684">
            <v>1</v>
          </cell>
        </row>
        <row r="1685">
          <cell r="D1685">
            <v>41983</v>
          </cell>
          <cell r="U1685">
            <v>0</v>
          </cell>
          <cell r="Z1685">
            <v>1</v>
          </cell>
        </row>
        <row r="1686">
          <cell r="D1686">
            <v>41983</v>
          </cell>
          <cell r="U1686">
            <v>0</v>
          </cell>
          <cell r="Z1686">
            <v>1</v>
          </cell>
        </row>
        <row r="1687">
          <cell r="D1687">
            <v>41983</v>
          </cell>
          <cell r="U1687">
            <v>1</v>
          </cell>
          <cell r="Z1687">
            <v>0</v>
          </cell>
        </row>
        <row r="1688">
          <cell r="D1688">
            <v>41983</v>
          </cell>
          <cell r="U1688">
            <v>1</v>
          </cell>
          <cell r="Z1688">
            <v>0</v>
          </cell>
        </row>
        <row r="1689">
          <cell r="D1689">
            <v>41983</v>
          </cell>
          <cell r="U1689">
            <v>2</v>
          </cell>
          <cell r="Z1689">
            <v>0</v>
          </cell>
        </row>
        <row r="1690">
          <cell r="D1690">
            <v>41983</v>
          </cell>
          <cell r="U1690">
            <v>2</v>
          </cell>
          <cell r="Z1690">
            <v>0</v>
          </cell>
        </row>
        <row r="1691">
          <cell r="D1691">
            <v>41983</v>
          </cell>
          <cell r="U1691">
            <v>1</v>
          </cell>
          <cell r="Z1691">
            <v>0</v>
          </cell>
        </row>
        <row r="1692">
          <cell r="D1692">
            <v>41983</v>
          </cell>
          <cell r="U1692">
            <v>0</v>
          </cell>
          <cell r="Z1692">
            <v>1</v>
          </cell>
        </row>
        <row r="1693">
          <cell r="D1693">
            <v>41983</v>
          </cell>
          <cell r="U1693">
            <v>0</v>
          </cell>
          <cell r="Z1693">
            <v>1</v>
          </cell>
        </row>
        <row r="1694">
          <cell r="D1694">
            <v>41983</v>
          </cell>
          <cell r="U1694">
            <v>3</v>
          </cell>
          <cell r="Z1694">
            <v>0</v>
          </cell>
        </row>
        <row r="1695">
          <cell r="D1695">
            <v>41983</v>
          </cell>
          <cell r="U1695">
            <v>1</v>
          </cell>
          <cell r="Z1695">
            <v>0</v>
          </cell>
        </row>
        <row r="1696">
          <cell r="D1696">
            <v>41983</v>
          </cell>
          <cell r="U1696">
            <v>0</v>
          </cell>
          <cell r="Z1696">
            <v>1</v>
          </cell>
        </row>
        <row r="1697">
          <cell r="D1697">
            <v>41983</v>
          </cell>
          <cell r="U1697">
            <v>0</v>
          </cell>
          <cell r="Z1697">
            <v>1</v>
          </cell>
        </row>
        <row r="1698">
          <cell r="D1698">
            <v>41983</v>
          </cell>
          <cell r="U1698">
            <v>2</v>
          </cell>
          <cell r="Z1698">
            <v>0</v>
          </cell>
        </row>
        <row r="1699">
          <cell r="D1699">
            <v>41983</v>
          </cell>
          <cell r="U1699">
            <v>0</v>
          </cell>
          <cell r="Z1699">
            <v>1</v>
          </cell>
        </row>
        <row r="1700">
          <cell r="D1700">
            <v>41983</v>
          </cell>
          <cell r="U1700">
            <v>0</v>
          </cell>
          <cell r="Z1700">
            <v>1</v>
          </cell>
        </row>
        <row r="1701">
          <cell r="D1701">
            <v>41983</v>
          </cell>
          <cell r="U1701">
            <v>0</v>
          </cell>
          <cell r="Z1701">
            <v>1</v>
          </cell>
        </row>
        <row r="1702">
          <cell r="D1702">
            <v>41983</v>
          </cell>
          <cell r="U1702">
            <v>0</v>
          </cell>
          <cell r="Z1702">
            <v>1</v>
          </cell>
        </row>
        <row r="1703">
          <cell r="D1703">
            <v>41983</v>
          </cell>
          <cell r="U1703">
            <v>0</v>
          </cell>
          <cell r="Z1703">
            <v>1</v>
          </cell>
        </row>
        <row r="1704">
          <cell r="D1704">
            <v>41983</v>
          </cell>
          <cell r="U1704">
            <v>0</v>
          </cell>
          <cell r="Z1704">
            <v>1</v>
          </cell>
        </row>
        <row r="1705">
          <cell r="D1705">
            <v>41983</v>
          </cell>
          <cell r="U1705">
            <v>1</v>
          </cell>
          <cell r="Z1705">
            <v>0</v>
          </cell>
        </row>
        <row r="1706">
          <cell r="D1706">
            <v>41983</v>
          </cell>
          <cell r="U1706">
            <v>1</v>
          </cell>
          <cell r="Z1706">
            <v>0</v>
          </cell>
        </row>
        <row r="1707">
          <cell r="D1707">
            <v>41983</v>
          </cell>
          <cell r="U1707">
            <v>0</v>
          </cell>
          <cell r="Z1707">
            <v>1</v>
          </cell>
        </row>
        <row r="1708">
          <cell r="D1708">
            <v>41983</v>
          </cell>
          <cell r="U1708">
            <v>2</v>
          </cell>
          <cell r="Z1708">
            <v>0</v>
          </cell>
        </row>
        <row r="1709">
          <cell r="D1709">
            <v>41983</v>
          </cell>
          <cell r="U1709">
            <v>2</v>
          </cell>
          <cell r="Z1709">
            <v>0</v>
          </cell>
        </row>
        <row r="1710">
          <cell r="D1710">
            <v>41983</v>
          </cell>
          <cell r="U1710">
            <v>1</v>
          </cell>
          <cell r="Z1710">
            <v>0</v>
          </cell>
        </row>
        <row r="1711">
          <cell r="D1711">
            <v>41983</v>
          </cell>
          <cell r="U1711">
            <v>0</v>
          </cell>
          <cell r="Z1711">
            <v>1</v>
          </cell>
        </row>
        <row r="1712">
          <cell r="D1712">
            <v>41983</v>
          </cell>
          <cell r="U1712">
            <v>0</v>
          </cell>
          <cell r="Z1712">
            <v>1</v>
          </cell>
        </row>
        <row r="1713">
          <cell r="D1713">
            <v>41983</v>
          </cell>
          <cell r="U1713">
            <v>3</v>
          </cell>
          <cell r="Z1713">
            <v>0</v>
          </cell>
        </row>
        <row r="1714">
          <cell r="D1714">
            <v>41983</v>
          </cell>
          <cell r="U1714">
            <v>0</v>
          </cell>
          <cell r="Z1714">
            <v>1</v>
          </cell>
        </row>
        <row r="1715">
          <cell r="D1715">
            <v>41983</v>
          </cell>
          <cell r="U1715">
            <v>1</v>
          </cell>
          <cell r="Z1715">
            <v>0</v>
          </cell>
        </row>
        <row r="1716">
          <cell r="D1716">
            <v>41983</v>
          </cell>
          <cell r="U1716">
            <v>3</v>
          </cell>
          <cell r="Z1716">
            <v>0</v>
          </cell>
        </row>
        <row r="1717">
          <cell r="D1717">
            <v>41983</v>
          </cell>
          <cell r="U1717">
            <v>0</v>
          </cell>
          <cell r="Z1717">
            <v>1</v>
          </cell>
        </row>
        <row r="1718">
          <cell r="D1718">
            <v>41983</v>
          </cell>
          <cell r="U1718">
            <v>0</v>
          </cell>
          <cell r="Z1718">
            <v>1</v>
          </cell>
        </row>
        <row r="1719">
          <cell r="D1719">
            <v>41983</v>
          </cell>
          <cell r="U1719">
            <v>0</v>
          </cell>
          <cell r="Z1719">
            <v>1</v>
          </cell>
        </row>
        <row r="1720">
          <cell r="D1720">
            <v>41983</v>
          </cell>
          <cell r="U1720">
            <v>0</v>
          </cell>
          <cell r="Z1720">
            <v>1</v>
          </cell>
        </row>
        <row r="1721">
          <cell r="D1721">
            <v>41983</v>
          </cell>
          <cell r="U1721">
            <v>1</v>
          </cell>
          <cell r="Z1721">
            <v>0</v>
          </cell>
        </row>
        <row r="1722">
          <cell r="D1722">
            <v>41983</v>
          </cell>
          <cell r="U1722">
            <v>0</v>
          </cell>
          <cell r="Z1722">
            <v>1</v>
          </cell>
        </row>
        <row r="1723">
          <cell r="D1723">
            <v>41983</v>
          </cell>
          <cell r="U1723">
            <v>1</v>
          </cell>
          <cell r="Z1723">
            <v>0</v>
          </cell>
        </row>
        <row r="1724">
          <cell r="D1724">
            <v>41983</v>
          </cell>
          <cell r="U1724">
            <v>0</v>
          </cell>
          <cell r="Z1724">
            <v>1</v>
          </cell>
        </row>
        <row r="1725">
          <cell r="D1725">
            <v>41983</v>
          </cell>
          <cell r="U1725">
            <v>0</v>
          </cell>
          <cell r="Z1725">
            <v>1</v>
          </cell>
        </row>
        <row r="1726">
          <cell r="D1726">
            <v>41983</v>
          </cell>
          <cell r="U1726">
            <v>1</v>
          </cell>
          <cell r="Z1726">
            <v>0</v>
          </cell>
        </row>
        <row r="1727">
          <cell r="D1727">
            <v>41983</v>
          </cell>
          <cell r="U1727">
            <v>0</v>
          </cell>
          <cell r="Z1727">
            <v>1</v>
          </cell>
        </row>
        <row r="1728">
          <cell r="D1728">
            <v>41983</v>
          </cell>
          <cell r="U1728">
            <v>0</v>
          </cell>
          <cell r="Z1728">
            <v>1</v>
          </cell>
        </row>
        <row r="1729">
          <cell r="D1729">
            <v>41983</v>
          </cell>
          <cell r="U1729">
            <v>0</v>
          </cell>
          <cell r="Z1729">
            <v>1</v>
          </cell>
        </row>
        <row r="1730">
          <cell r="D1730">
            <v>41983</v>
          </cell>
          <cell r="U1730">
            <v>2</v>
          </cell>
          <cell r="Z1730">
            <v>0</v>
          </cell>
        </row>
        <row r="1731">
          <cell r="D1731">
            <v>41983</v>
          </cell>
          <cell r="U1731">
            <v>2</v>
          </cell>
          <cell r="Z1731">
            <v>0</v>
          </cell>
        </row>
        <row r="1732">
          <cell r="D1732">
            <v>41983</v>
          </cell>
          <cell r="U1732">
            <v>0</v>
          </cell>
          <cell r="Z1732">
            <v>1</v>
          </cell>
        </row>
        <row r="1733">
          <cell r="D1733">
            <v>41983</v>
          </cell>
          <cell r="U1733">
            <v>0</v>
          </cell>
          <cell r="Z1733">
            <v>1</v>
          </cell>
        </row>
        <row r="1734">
          <cell r="D1734">
            <v>41983</v>
          </cell>
          <cell r="U1734">
            <v>1</v>
          </cell>
          <cell r="Z1734">
            <v>0</v>
          </cell>
        </row>
        <row r="1735">
          <cell r="D1735">
            <v>41983</v>
          </cell>
          <cell r="U1735">
            <v>0</v>
          </cell>
          <cell r="Z1735">
            <v>1</v>
          </cell>
        </row>
        <row r="1736">
          <cell r="D1736">
            <v>41983</v>
          </cell>
          <cell r="U1736">
            <v>0</v>
          </cell>
          <cell r="Z1736">
            <v>1</v>
          </cell>
        </row>
        <row r="1737">
          <cell r="D1737">
            <v>41983</v>
          </cell>
          <cell r="U1737">
            <v>0</v>
          </cell>
          <cell r="Z1737">
            <v>1</v>
          </cell>
        </row>
        <row r="1738">
          <cell r="D1738">
            <v>41983</v>
          </cell>
          <cell r="U1738">
            <v>0</v>
          </cell>
          <cell r="Z1738">
            <v>1</v>
          </cell>
        </row>
        <row r="1739">
          <cell r="D1739">
            <v>41983</v>
          </cell>
          <cell r="U1739">
            <v>2</v>
          </cell>
          <cell r="Z1739">
            <v>0</v>
          </cell>
        </row>
        <row r="1740">
          <cell r="D1740">
            <v>41983</v>
          </cell>
          <cell r="U1740">
            <v>2</v>
          </cell>
          <cell r="Z1740">
            <v>0</v>
          </cell>
        </row>
        <row r="1741">
          <cell r="D1741">
            <v>41983</v>
          </cell>
          <cell r="U1741">
            <v>0</v>
          </cell>
          <cell r="Z1741">
            <v>1</v>
          </cell>
        </row>
        <row r="1742">
          <cell r="D1742">
            <v>41983</v>
          </cell>
          <cell r="U1742">
            <v>0</v>
          </cell>
          <cell r="Z1742">
            <v>1</v>
          </cell>
        </row>
        <row r="1743">
          <cell r="D1743">
            <v>41983</v>
          </cell>
          <cell r="U1743">
            <v>0</v>
          </cell>
          <cell r="Z1743">
            <v>1</v>
          </cell>
        </row>
        <row r="1744">
          <cell r="D1744">
            <v>41983</v>
          </cell>
          <cell r="U1744">
            <v>2</v>
          </cell>
          <cell r="Z1744">
            <v>0</v>
          </cell>
        </row>
        <row r="1745">
          <cell r="D1745">
            <v>41983</v>
          </cell>
          <cell r="U1745">
            <v>0</v>
          </cell>
          <cell r="Z1745">
            <v>1</v>
          </cell>
        </row>
        <row r="1746">
          <cell r="D1746">
            <v>41983</v>
          </cell>
          <cell r="U1746">
            <v>3</v>
          </cell>
          <cell r="Z1746">
            <v>0</v>
          </cell>
        </row>
        <row r="1747">
          <cell r="D1747">
            <v>41983</v>
          </cell>
          <cell r="U1747">
            <v>0</v>
          </cell>
          <cell r="Z1747">
            <v>1</v>
          </cell>
        </row>
        <row r="1748">
          <cell r="D1748">
            <v>41983</v>
          </cell>
          <cell r="U1748">
            <v>0</v>
          </cell>
          <cell r="Z1748">
            <v>1</v>
          </cell>
        </row>
        <row r="1749">
          <cell r="D1749">
            <v>41983</v>
          </cell>
          <cell r="U1749">
            <v>1</v>
          </cell>
          <cell r="Z1749">
            <v>0</v>
          </cell>
        </row>
        <row r="1750">
          <cell r="D1750">
            <v>41983</v>
          </cell>
          <cell r="U1750">
            <v>1</v>
          </cell>
          <cell r="Z1750">
            <v>0</v>
          </cell>
        </row>
        <row r="1751">
          <cell r="D1751">
            <v>41983</v>
          </cell>
          <cell r="U1751">
            <v>0</v>
          </cell>
          <cell r="Z1751">
            <v>1</v>
          </cell>
        </row>
        <row r="1752">
          <cell r="D1752">
            <v>41983</v>
          </cell>
          <cell r="U1752">
            <v>0</v>
          </cell>
          <cell r="Z1752">
            <v>1</v>
          </cell>
        </row>
        <row r="1753">
          <cell r="D1753">
            <v>41983</v>
          </cell>
          <cell r="U1753">
            <v>0</v>
          </cell>
          <cell r="Z1753">
            <v>1</v>
          </cell>
        </row>
        <row r="1754">
          <cell r="D1754">
            <v>41983</v>
          </cell>
          <cell r="U1754">
            <v>0</v>
          </cell>
          <cell r="Z1754">
            <v>1</v>
          </cell>
        </row>
        <row r="1755">
          <cell r="D1755">
            <v>41983</v>
          </cell>
          <cell r="U1755">
            <v>0</v>
          </cell>
          <cell r="Z1755">
            <v>1</v>
          </cell>
        </row>
        <row r="1756">
          <cell r="D1756">
            <v>41983</v>
          </cell>
          <cell r="U1756">
            <v>0</v>
          </cell>
          <cell r="Z1756">
            <v>1</v>
          </cell>
        </row>
        <row r="1757">
          <cell r="D1757">
            <v>41983</v>
          </cell>
          <cell r="U1757">
            <v>0</v>
          </cell>
          <cell r="Z1757">
            <v>1</v>
          </cell>
        </row>
        <row r="1758">
          <cell r="D1758">
            <v>41983</v>
          </cell>
          <cell r="U1758">
            <v>1</v>
          </cell>
          <cell r="Z1758">
            <v>0</v>
          </cell>
        </row>
        <row r="1759">
          <cell r="D1759">
            <v>41983</v>
          </cell>
          <cell r="U1759">
            <v>0</v>
          </cell>
          <cell r="Z1759">
            <v>1</v>
          </cell>
        </row>
        <row r="1760">
          <cell r="D1760">
            <v>41983</v>
          </cell>
          <cell r="U1760">
            <v>0</v>
          </cell>
          <cell r="Z1760">
            <v>1</v>
          </cell>
        </row>
        <row r="1761">
          <cell r="D1761">
            <v>41983</v>
          </cell>
          <cell r="U1761">
            <v>1</v>
          </cell>
          <cell r="Z1761">
            <v>0</v>
          </cell>
        </row>
        <row r="1762">
          <cell r="D1762">
            <v>41983</v>
          </cell>
          <cell r="U1762">
            <v>1</v>
          </cell>
          <cell r="Z1762">
            <v>0</v>
          </cell>
        </row>
        <row r="1763">
          <cell r="D1763">
            <v>41983</v>
          </cell>
          <cell r="U1763">
            <v>0</v>
          </cell>
          <cell r="Z1763">
            <v>1</v>
          </cell>
        </row>
        <row r="1764">
          <cell r="D1764">
            <v>41983</v>
          </cell>
          <cell r="U1764">
            <v>2</v>
          </cell>
          <cell r="Z1764">
            <v>0</v>
          </cell>
        </row>
        <row r="1765">
          <cell r="D1765">
            <v>41983</v>
          </cell>
          <cell r="U1765">
            <v>0</v>
          </cell>
          <cell r="Z1765">
            <v>1</v>
          </cell>
        </row>
        <row r="1766">
          <cell r="D1766">
            <v>41983</v>
          </cell>
          <cell r="U1766">
            <v>0</v>
          </cell>
          <cell r="Z1766">
            <v>1</v>
          </cell>
        </row>
        <row r="1767">
          <cell r="D1767">
            <v>41983</v>
          </cell>
          <cell r="U1767">
            <v>0</v>
          </cell>
          <cell r="Z1767">
            <v>1</v>
          </cell>
        </row>
        <row r="1768">
          <cell r="D1768">
            <v>41983</v>
          </cell>
          <cell r="U1768">
            <v>0</v>
          </cell>
          <cell r="Z1768">
            <v>1</v>
          </cell>
        </row>
        <row r="1769">
          <cell r="D1769">
            <v>41983</v>
          </cell>
          <cell r="U1769">
            <v>0</v>
          </cell>
          <cell r="Z1769">
            <v>1</v>
          </cell>
        </row>
        <row r="1770">
          <cell r="D1770">
            <v>41983</v>
          </cell>
          <cell r="U1770">
            <v>0</v>
          </cell>
          <cell r="Z1770">
            <v>1</v>
          </cell>
        </row>
        <row r="1771">
          <cell r="D1771">
            <v>41983</v>
          </cell>
          <cell r="U1771">
            <v>0</v>
          </cell>
          <cell r="Z1771">
            <v>1</v>
          </cell>
        </row>
        <row r="1772">
          <cell r="D1772">
            <v>41983</v>
          </cell>
          <cell r="U1772">
            <v>0</v>
          </cell>
          <cell r="Z1772">
            <v>1</v>
          </cell>
        </row>
        <row r="1773">
          <cell r="D1773">
            <v>41983</v>
          </cell>
          <cell r="U1773">
            <v>0</v>
          </cell>
          <cell r="Z1773">
            <v>1</v>
          </cell>
        </row>
        <row r="1774">
          <cell r="D1774">
            <v>41983</v>
          </cell>
          <cell r="U1774">
            <v>0</v>
          </cell>
          <cell r="Z1774">
            <v>1</v>
          </cell>
        </row>
        <row r="1775">
          <cell r="D1775">
            <v>41983</v>
          </cell>
          <cell r="U1775">
            <v>3</v>
          </cell>
          <cell r="Z1775">
            <v>0</v>
          </cell>
        </row>
        <row r="1776">
          <cell r="D1776">
            <v>41983</v>
          </cell>
          <cell r="U1776">
            <v>1</v>
          </cell>
          <cell r="Z1776">
            <v>0</v>
          </cell>
        </row>
        <row r="1777">
          <cell r="D1777">
            <v>41983</v>
          </cell>
          <cell r="U1777">
            <v>0</v>
          </cell>
          <cell r="Z1777">
            <v>1</v>
          </cell>
        </row>
        <row r="1778">
          <cell r="D1778">
            <v>41983</v>
          </cell>
          <cell r="U1778">
            <v>0</v>
          </cell>
          <cell r="Z1778">
            <v>1</v>
          </cell>
        </row>
        <row r="1779">
          <cell r="D1779">
            <v>41983</v>
          </cell>
          <cell r="U1779">
            <v>0</v>
          </cell>
          <cell r="Z1779">
            <v>1</v>
          </cell>
        </row>
        <row r="1780">
          <cell r="D1780">
            <v>41983</v>
          </cell>
          <cell r="U1780">
            <v>0</v>
          </cell>
          <cell r="Z1780">
            <v>1</v>
          </cell>
        </row>
        <row r="1781">
          <cell r="D1781">
            <v>41983</v>
          </cell>
          <cell r="U1781">
            <v>1</v>
          </cell>
          <cell r="Z1781">
            <v>0</v>
          </cell>
        </row>
        <row r="1782">
          <cell r="D1782">
            <v>41983</v>
          </cell>
          <cell r="U1782">
            <v>0</v>
          </cell>
          <cell r="Z1782">
            <v>1</v>
          </cell>
        </row>
        <row r="1783">
          <cell r="D1783">
            <v>41983</v>
          </cell>
          <cell r="U1783">
            <v>1</v>
          </cell>
          <cell r="Z1783">
            <v>0</v>
          </cell>
        </row>
        <row r="1784">
          <cell r="D1784">
            <v>41983</v>
          </cell>
          <cell r="U1784">
            <v>1</v>
          </cell>
          <cell r="Z1784">
            <v>0</v>
          </cell>
        </row>
        <row r="1785">
          <cell r="D1785">
            <v>41983</v>
          </cell>
          <cell r="U1785">
            <v>0</v>
          </cell>
          <cell r="Z1785">
            <v>1</v>
          </cell>
        </row>
        <row r="1786">
          <cell r="D1786">
            <v>41983</v>
          </cell>
          <cell r="U1786">
            <v>0</v>
          </cell>
          <cell r="Z1786">
            <v>1</v>
          </cell>
        </row>
        <row r="1787">
          <cell r="D1787">
            <v>41983</v>
          </cell>
          <cell r="U1787">
            <v>0</v>
          </cell>
          <cell r="Z1787">
            <v>1</v>
          </cell>
        </row>
        <row r="1788">
          <cell r="D1788">
            <v>41983</v>
          </cell>
          <cell r="U1788">
            <v>3</v>
          </cell>
          <cell r="Z1788">
            <v>0</v>
          </cell>
        </row>
        <row r="1789">
          <cell r="D1789">
            <v>41983</v>
          </cell>
          <cell r="U1789">
            <v>2</v>
          </cell>
          <cell r="Z1789">
            <v>0</v>
          </cell>
        </row>
        <row r="1790">
          <cell r="D1790">
            <v>41983</v>
          </cell>
          <cell r="U1790">
            <v>0</v>
          </cell>
          <cell r="Z1790">
            <v>1</v>
          </cell>
        </row>
        <row r="1791">
          <cell r="D1791">
            <v>41983</v>
          </cell>
          <cell r="U1791">
            <v>0</v>
          </cell>
          <cell r="Z1791">
            <v>1</v>
          </cell>
        </row>
        <row r="1792">
          <cell r="D1792">
            <v>41983</v>
          </cell>
          <cell r="U1792">
            <v>1</v>
          </cell>
          <cell r="Z1792">
            <v>0</v>
          </cell>
        </row>
        <row r="1793">
          <cell r="D1793">
            <v>41983</v>
          </cell>
          <cell r="U1793">
            <v>0</v>
          </cell>
          <cell r="Z1793">
            <v>1</v>
          </cell>
        </row>
        <row r="1794">
          <cell r="D1794">
            <v>41983</v>
          </cell>
          <cell r="U1794">
            <v>0</v>
          </cell>
          <cell r="Z1794">
            <v>1</v>
          </cell>
        </row>
        <row r="1795">
          <cell r="D1795">
            <v>41984</v>
          </cell>
          <cell r="U1795">
            <v>0</v>
          </cell>
          <cell r="Z1795">
            <v>1</v>
          </cell>
        </row>
        <row r="1796">
          <cell r="D1796">
            <v>41984</v>
          </cell>
          <cell r="U1796">
            <v>2</v>
          </cell>
          <cell r="Z1796">
            <v>0</v>
          </cell>
        </row>
        <row r="1797">
          <cell r="D1797">
            <v>41984</v>
          </cell>
          <cell r="U1797">
            <v>3</v>
          </cell>
          <cell r="Z1797">
            <v>0</v>
          </cell>
        </row>
        <row r="1798">
          <cell r="D1798">
            <v>41984</v>
          </cell>
          <cell r="U1798">
            <v>0</v>
          </cell>
          <cell r="Z1798">
            <v>1</v>
          </cell>
        </row>
        <row r="1799">
          <cell r="D1799">
            <v>41984</v>
          </cell>
          <cell r="U1799">
            <v>0</v>
          </cell>
          <cell r="Z1799">
            <v>1</v>
          </cell>
        </row>
        <row r="1800">
          <cell r="D1800">
            <v>41984</v>
          </cell>
          <cell r="U1800">
            <v>0</v>
          </cell>
          <cell r="Z1800">
            <v>1</v>
          </cell>
        </row>
        <row r="1801">
          <cell r="D1801">
            <v>41984</v>
          </cell>
          <cell r="U1801">
            <v>0</v>
          </cell>
          <cell r="Z1801">
            <v>1</v>
          </cell>
        </row>
        <row r="1802">
          <cell r="D1802">
            <v>41984</v>
          </cell>
          <cell r="U1802">
            <v>2</v>
          </cell>
          <cell r="Z1802">
            <v>0</v>
          </cell>
        </row>
        <row r="1803">
          <cell r="D1803">
            <v>41984</v>
          </cell>
          <cell r="U1803">
            <v>0</v>
          </cell>
          <cell r="Z1803">
            <v>1</v>
          </cell>
        </row>
        <row r="1804">
          <cell r="D1804">
            <v>41984</v>
          </cell>
          <cell r="U1804">
            <v>0</v>
          </cell>
          <cell r="Z1804">
            <v>1</v>
          </cell>
        </row>
        <row r="1805">
          <cell r="D1805">
            <v>41984</v>
          </cell>
          <cell r="U1805">
            <v>3</v>
          </cell>
          <cell r="Z1805">
            <v>0</v>
          </cell>
        </row>
        <row r="1806">
          <cell r="D1806">
            <v>41984</v>
          </cell>
          <cell r="U1806">
            <v>0</v>
          </cell>
          <cell r="Z1806">
            <v>1</v>
          </cell>
        </row>
        <row r="1807">
          <cell r="D1807">
            <v>41984</v>
          </cell>
          <cell r="U1807">
            <v>1</v>
          </cell>
          <cell r="Z1807">
            <v>0</v>
          </cell>
        </row>
        <row r="1808">
          <cell r="D1808">
            <v>41984</v>
          </cell>
          <cell r="U1808">
            <v>0</v>
          </cell>
          <cell r="Z1808">
            <v>1</v>
          </cell>
        </row>
        <row r="1809">
          <cell r="D1809">
            <v>41984</v>
          </cell>
          <cell r="U1809">
            <v>0</v>
          </cell>
          <cell r="Z1809">
            <v>1</v>
          </cell>
        </row>
        <row r="1810">
          <cell r="D1810">
            <v>41984</v>
          </cell>
          <cell r="U1810">
            <v>0</v>
          </cell>
          <cell r="Z1810">
            <v>1</v>
          </cell>
        </row>
        <row r="1811">
          <cell r="D1811">
            <v>41984</v>
          </cell>
          <cell r="U1811">
            <v>2</v>
          </cell>
          <cell r="Z1811">
            <v>0</v>
          </cell>
        </row>
        <row r="1812">
          <cell r="D1812">
            <v>41984</v>
          </cell>
          <cell r="U1812">
            <v>0</v>
          </cell>
          <cell r="Z1812">
            <v>1</v>
          </cell>
        </row>
        <row r="1813">
          <cell r="D1813">
            <v>41984</v>
          </cell>
          <cell r="U1813">
            <v>2</v>
          </cell>
          <cell r="Z1813">
            <v>0</v>
          </cell>
        </row>
        <row r="1814">
          <cell r="D1814">
            <v>41984</v>
          </cell>
          <cell r="U1814">
            <v>0</v>
          </cell>
          <cell r="Z1814">
            <v>1</v>
          </cell>
        </row>
        <row r="1815">
          <cell r="D1815">
            <v>41984</v>
          </cell>
          <cell r="U1815">
            <v>0</v>
          </cell>
          <cell r="Z1815">
            <v>1</v>
          </cell>
        </row>
        <row r="1816">
          <cell r="D1816">
            <v>41984</v>
          </cell>
          <cell r="U1816">
            <v>0</v>
          </cell>
          <cell r="Z1816">
            <v>1</v>
          </cell>
        </row>
        <row r="1817">
          <cell r="D1817">
            <v>41984</v>
          </cell>
          <cell r="U1817">
            <v>1</v>
          </cell>
          <cell r="Z1817">
            <v>0</v>
          </cell>
        </row>
        <row r="1818">
          <cell r="D1818">
            <v>41984</v>
          </cell>
          <cell r="U1818">
            <v>0</v>
          </cell>
          <cell r="Z1818">
            <v>1</v>
          </cell>
        </row>
        <row r="1819">
          <cell r="D1819">
            <v>41984</v>
          </cell>
          <cell r="U1819">
            <v>3</v>
          </cell>
          <cell r="Z1819">
            <v>0</v>
          </cell>
        </row>
        <row r="1820">
          <cell r="D1820">
            <v>41984</v>
          </cell>
          <cell r="U1820">
            <v>3</v>
          </cell>
          <cell r="Z1820">
            <v>0</v>
          </cell>
        </row>
        <row r="1821">
          <cell r="D1821">
            <v>41984</v>
          </cell>
          <cell r="U1821">
            <v>0</v>
          </cell>
          <cell r="Z1821">
            <v>1</v>
          </cell>
        </row>
        <row r="1822">
          <cell r="D1822">
            <v>41984</v>
          </cell>
          <cell r="U1822">
            <v>3</v>
          </cell>
          <cell r="Z1822">
            <v>0</v>
          </cell>
        </row>
        <row r="1823">
          <cell r="D1823">
            <v>41984</v>
          </cell>
          <cell r="U1823">
            <v>2</v>
          </cell>
          <cell r="Z1823">
            <v>0</v>
          </cell>
        </row>
        <row r="1824">
          <cell r="D1824">
            <v>41984</v>
          </cell>
          <cell r="U1824">
            <v>0</v>
          </cell>
          <cell r="Z1824">
            <v>1</v>
          </cell>
        </row>
        <row r="1825">
          <cell r="D1825">
            <v>41984</v>
          </cell>
          <cell r="U1825">
            <v>0</v>
          </cell>
          <cell r="Z1825">
            <v>1</v>
          </cell>
        </row>
        <row r="1826">
          <cell r="D1826">
            <v>41984</v>
          </cell>
          <cell r="U1826">
            <v>0</v>
          </cell>
          <cell r="Z1826">
            <v>1</v>
          </cell>
        </row>
        <row r="1827">
          <cell r="D1827">
            <v>41984</v>
          </cell>
          <cell r="U1827">
            <v>0</v>
          </cell>
          <cell r="Z1827">
            <v>1</v>
          </cell>
        </row>
        <row r="1828">
          <cell r="D1828">
            <v>41984</v>
          </cell>
          <cell r="U1828">
            <v>0</v>
          </cell>
          <cell r="Z1828">
            <v>1</v>
          </cell>
        </row>
        <row r="1829">
          <cell r="D1829">
            <v>41984</v>
          </cell>
          <cell r="U1829">
            <v>2</v>
          </cell>
          <cell r="Z1829">
            <v>0</v>
          </cell>
        </row>
        <row r="1830">
          <cell r="D1830">
            <v>41984</v>
          </cell>
          <cell r="U1830">
            <v>0</v>
          </cell>
          <cell r="Z1830">
            <v>1</v>
          </cell>
        </row>
        <row r="1831">
          <cell r="D1831">
            <v>41984</v>
          </cell>
          <cell r="U1831">
            <v>2</v>
          </cell>
          <cell r="Z1831">
            <v>0</v>
          </cell>
        </row>
        <row r="1832">
          <cell r="D1832">
            <v>41984</v>
          </cell>
          <cell r="U1832">
            <v>2</v>
          </cell>
          <cell r="Z1832">
            <v>0</v>
          </cell>
        </row>
        <row r="1833">
          <cell r="D1833">
            <v>41984</v>
          </cell>
          <cell r="U1833">
            <v>1</v>
          </cell>
          <cell r="Z1833">
            <v>0</v>
          </cell>
        </row>
        <row r="1834">
          <cell r="D1834">
            <v>41984</v>
          </cell>
          <cell r="U1834">
            <v>2</v>
          </cell>
          <cell r="Z1834">
            <v>0</v>
          </cell>
        </row>
        <row r="1835">
          <cell r="D1835">
            <v>41984</v>
          </cell>
          <cell r="U1835">
            <v>0</v>
          </cell>
          <cell r="Z1835">
            <v>1</v>
          </cell>
        </row>
        <row r="1836">
          <cell r="D1836">
            <v>41984</v>
          </cell>
          <cell r="U1836">
            <v>0</v>
          </cell>
          <cell r="Z1836">
            <v>1</v>
          </cell>
        </row>
        <row r="1837">
          <cell r="D1837">
            <v>41984</v>
          </cell>
          <cell r="U1837">
            <v>0</v>
          </cell>
          <cell r="Z1837">
            <v>1</v>
          </cell>
        </row>
        <row r="1838">
          <cell r="D1838">
            <v>41984</v>
          </cell>
          <cell r="U1838">
            <v>0</v>
          </cell>
          <cell r="Z1838">
            <v>1</v>
          </cell>
        </row>
        <row r="1839">
          <cell r="D1839">
            <v>41984</v>
          </cell>
          <cell r="U1839">
            <v>3</v>
          </cell>
          <cell r="Z1839">
            <v>0</v>
          </cell>
        </row>
        <row r="1840">
          <cell r="D1840">
            <v>41984</v>
          </cell>
          <cell r="U1840">
            <v>1</v>
          </cell>
          <cell r="Z1840">
            <v>0</v>
          </cell>
        </row>
        <row r="1841">
          <cell r="D1841">
            <v>41984</v>
          </cell>
          <cell r="U1841">
            <v>0</v>
          </cell>
          <cell r="Z1841">
            <v>1</v>
          </cell>
        </row>
        <row r="1842">
          <cell r="D1842">
            <v>41984</v>
          </cell>
          <cell r="U1842">
            <v>1</v>
          </cell>
          <cell r="Z1842">
            <v>0</v>
          </cell>
        </row>
        <row r="1843">
          <cell r="D1843">
            <v>41984</v>
          </cell>
          <cell r="U1843">
            <v>1</v>
          </cell>
          <cell r="Z1843">
            <v>0</v>
          </cell>
        </row>
        <row r="1844">
          <cell r="D1844">
            <v>41984</v>
          </cell>
          <cell r="U1844">
            <v>0</v>
          </cell>
          <cell r="Z1844">
            <v>1</v>
          </cell>
        </row>
        <row r="1845">
          <cell r="D1845">
            <v>41984</v>
          </cell>
          <cell r="U1845">
            <v>0</v>
          </cell>
          <cell r="Z1845">
            <v>1</v>
          </cell>
        </row>
        <row r="1846">
          <cell r="D1846">
            <v>41984</v>
          </cell>
          <cell r="U1846">
            <v>0</v>
          </cell>
          <cell r="Z1846">
            <v>1</v>
          </cell>
        </row>
        <row r="1847">
          <cell r="D1847">
            <v>41984</v>
          </cell>
          <cell r="U1847">
            <v>0</v>
          </cell>
          <cell r="Z1847">
            <v>1</v>
          </cell>
        </row>
        <row r="1848">
          <cell r="D1848">
            <v>41984</v>
          </cell>
          <cell r="U1848">
            <v>0</v>
          </cell>
          <cell r="Z1848">
            <v>1</v>
          </cell>
        </row>
        <row r="1849">
          <cell r="D1849">
            <v>41984</v>
          </cell>
          <cell r="U1849">
            <v>1</v>
          </cell>
          <cell r="Z1849">
            <v>0</v>
          </cell>
        </row>
        <row r="1850">
          <cell r="D1850">
            <v>41984</v>
          </cell>
          <cell r="U1850">
            <v>1</v>
          </cell>
          <cell r="Z1850">
            <v>0</v>
          </cell>
        </row>
        <row r="1851">
          <cell r="D1851">
            <v>41984</v>
          </cell>
          <cell r="U1851">
            <v>2</v>
          </cell>
          <cell r="Z1851">
            <v>0</v>
          </cell>
        </row>
        <row r="1852">
          <cell r="D1852">
            <v>41984</v>
          </cell>
          <cell r="U1852">
            <v>2</v>
          </cell>
          <cell r="Z1852">
            <v>0</v>
          </cell>
        </row>
        <row r="1853">
          <cell r="D1853">
            <v>41984</v>
          </cell>
          <cell r="U1853">
            <v>1</v>
          </cell>
          <cell r="Z1853">
            <v>0</v>
          </cell>
        </row>
        <row r="1854">
          <cell r="D1854">
            <v>41984</v>
          </cell>
          <cell r="U1854">
            <v>0</v>
          </cell>
          <cell r="Z1854">
            <v>1</v>
          </cell>
        </row>
        <row r="1855">
          <cell r="D1855">
            <v>41984</v>
          </cell>
          <cell r="U1855">
            <v>0</v>
          </cell>
          <cell r="Z1855">
            <v>1</v>
          </cell>
        </row>
        <row r="1856">
          <cell r="D1856">
            <v>41984</v>
          </cell>
          <cell r="U1856">
            <v>0</v>
          </cell>
          <cell r="Z1856">
            <v>1</v>
          </cell>
        </row>
        <row r="1857">
          <cell r="D1857">
            <v>41984</v>
          </cell>
          <cell r="U1857">
            <v>0</v>
          </cell>
          <cell r="Z1857">
            <v>1</v>
          </cell>
        </row>
        <row r="1858">
          <cell r="D1858">
            <v>41984</v>
          </cell>
          <cell r="U1858">
            <v>1</v>
          </cell>
          <cell r="Z1858">
            <v>0</v>
          </cell>
        </row>
        <row r="1859">
          <cell r="D1859">
            <v>41984</v>
          </cell>
          <cell r="U1859">
            <v>0</v>
          </cell>
          <cell r="Z1859">
            <v>1</v>
          </cell>
        </row>
        <row r="1860">
          <cell r="D1860">
            <v>41984</v>
          </cell>
          <cell r="U1860">
            <v>0</v>
          </cell>
          <cell r="Z1860">
            <v>1</v>
          </cell>
        </row>
        <row r="1861">
          <cell r="D1861">
            <v>41984</v>
          </cell>
          <cell r="U1861">
            <v>0</v>
          </cell>
          <cell r="Z1861">
            <v>1</v>
          </cell>
        </row>
        <row r="1862">
          <cell r="D1862">
            <v>41984</v>
          </cell>
          <cell r="U1862">
            <v>0</v>
          </cell>
          <cell r="Z1862">
            <v>1</v>
          </cell>
        </row>
        <row r="1863">
          <cell r="D1863">
            <v>41984</v>
          </cell>
          <cell r="U1863">
            <v>0</v>
          </cell>
          <cell r="Z1863">
            <v>1</v>
          </cell>
        </row>
        <row r="1864">
          <cell r="D1864">
            <v>41984</v>
          </cell>
          <cell r="U1864">
            <v>0</v>
          </cell>
          <cell r="Z1864">
            <v>1</v>
          </cell>
        </row>
        <row r="1865">
          <cell r="D1865">
            <v>41984</v>
          </cell>
          <cell r="U1865">
            <v>0</v>
          </cell>
          <cell r="Z1865">
            <v>1</v>
          </cell>
        </row>
        <row r="1866">
          <cell r="D1866">
            <v>41984</v>
          </cell>
          <cell r="U1866">
            <v>1</v>
          </cell>
          <cell r="Z1866">
            <v>0</v>
          </cell>
        </row>
        <row r="1867">
          <cell r="D1867">
            <v>41984</v>
          </cell>
          <cell r="U1867">
            <v>0</v>
          </cell>
          <cell r="Z1867">
            <v>1</v>
          </cell>
        </row>
        <row r="1868">
          <cell r="D1868">
            <v>41984</v>
          </cell>
          <cell r="U1868">
            <v>0</v>
          </cell>
          <cell r="Z1868">
            <v>1</v>
          </cell>
        </row>
        <row r="1869">
          <cell r="D1869">
            <v>41984</v>
          </cell>
          <cell r="U1869">
            <v>0</v>
          </cell>
          <cell r="Z1869">
            <v>1</v>
          </cell>
        </row>
        <row r="1870">
          <cell r="D1870">
            <v>41984</v>
          </cell>
          <cell r="U1870">
            <v>2</v>
          </cell>
          <cell r="Z1870">
            <v>0</v>
          </cell>
        </row>
        <row r="1871">
          <cell r="D1871">
            <v>41984</v>
          </cell>
          <cell r="U1871">
            <v>2</v>
          </cell>
          <cell r="Z1871">
            <v>0</v>
          </cell>
        </row>
        <row r="1872">
          <cell r="D1872">
            <v>41984</v>
          </cell>
          <cell r="U1872">
            <v>3</v>
          </cell>
          <cell r="Z1872">
            <v>0</v>
          </cell>
        </row>
        <row r="1873">
          <cell r="D1873">
            <v>41984</v>
          </cell>
          <cell r="U1873">
            <v>0</v>
          </cell>
          <cell r="Z1873">
            <v>1</v>
          </cell>
        </row>
        <row r="1874">
          <cell r="D1874">
            <v>41984</v>
          </cell>
          <cell r="U1874">
            <v>3</v>
          </cell>
          <cell r="Z1874">
            <v>0</v>
          </cell>
        </row>
        <row r="1875">
          <cell r="D1875">
            <v>41984</v>
          </cell>
          <cell r="U1875">
            <v>0</v>
          </cell>
          <cell r="Z1875">
            <v>1</v>
          </cell>
        </row>
        <row r="1876">
          <cell r="D1876">
            <v>41984</v>
          </cell>
          <cell r="U1876">
            <v>1</v>
          </cell>
          <cell r="Z1876">
            <v>0</v>
          </cell>
        </row>
        <row r="1877">
          <cell r="D1877">
            <v>41984</v>
          </cell>
          <cell r="U1877">
            <v>2</v>
          </cell>
          <cell r="Z1877">
            <v>0</v>
          </cell>
        </row>
        <row r="1878">
          <cell r="D1878">
            <v>41984</v>
          </cell>
          <cell r="U1878">
            <v>2</v>
          </cell>
          <cell r="Z1878">
            <v>0</v>
          </cell>
        </row>
        <row r="1879">
          <cell r="D1879">
            <v>41984</v>
          </cell>
          <cell r="U1879">
            <v>2</v>
          </cell>
          <cell r="Z1879">
            <v>0</v>
          </cell>
        </row>
        <row r="1880">
          <cell r="D1880">
            <v>41984</v>
          </cell>
          <cell r="U1880">
            <v>0</v>
          </cell>
          <cell r="Z1880">
            <v>1</v>
          </cell>
        </row>
        <row r="1881">
          <cell r="D1881">
            <v>41984</v>
          </cell>
          <cell r="U1881">
            <v>0</v>
          </cell>
          <cell r="Z1881">
            <v>1</v>
          </cell>
        </row>
        <row r="1882">
          <cell r="D1882">
            <v>41984</v>
          </cell>
          <cell r="U1882">
            <v>0</v>
          </cell>
          <cell r="Z1882">
            <v>1</v>
          </cell>
        </row>
        <row r="1883">
          <cell r="D1883">
            <v>41984</v>
          </cell>
          <cell r="U1883">
            <v>1</v>
          </cell>
          <cell r="Z1883">
            <v>0</v>
          </cell>
        </row>
        <row r="1884">
          <cell r="D1884">
            <v>41984</v>
          </cell>
          <cell r="U1884">
            <v>0</v>
          </cell>
          <cell r="Z1884">
            <v>1</v>
          </cell>
        </row>
        <row r="1885">
          <cell r="D1885">
            <v>41984</v>
          </cell>
          <cell r="U1885">
            <v>0</v>
          </cell>
          <cell r="Z1885">
            <v>1</v>
          </cell>
        </row>
        <row r="1886">
          <cell r="D1886">
            <v>41984</v>
          </cell>
          <cell r="U1886">
            <v>0</v>
          </cell>
          <cell r="Z1886">
            <v>1</v>
          </cell>
        </row>
        <row r="1887">
          <cell r="D1887">
            <v>41984</v>
          </cell>
          <cell r="U1887">
            <v>0</v>
          </cell>
          <cell r="Z1887">
            <v>1</v>
          </cell>
        </row>
        <row r="1888">
          <cell r="D1888">
            <v>41984</v>
          </cell>
          <cell r="U1888">
            <v>3</v>
          </cell>
          <cell r="Z1888">
            <v>0</v>
          </cell>
        </row>
        <row r="1889">
          <cell r="D1889">
            <v>41984</v>
          </cell>
          <cell r="U1889">
            <v>0</v>
          </cell>
          <cell r="Z1889">
            <v>1</v>
          </cell>
        </row>
        <row r="1890">
          <cell r="D1890">
            <v>41984</v>
          </cell>
          <cell r="U1890">
            <v>1</v>
          </cell>
          <cell r="Z1890">
            <v>0</v>
          </cell>
        </row>
        <row r="1891">
          <cell r="D1891">
            <v>41984</v>
          </cell>
          <cell r="U1891">
            <v>0</v>
          </cell>
          <cell r="Z1891">
            <v>1</v>
          </cell>
        </row>
        <row r="1892">
          <cell r="D1892">
            <v>41984</v>
          </cell>
          <cell r="U1892">
            <v>0</v>
          </cell>
          <cell r="Z1892">
            <v>1</v>
          </cell>
        </row>
        <row r="1893">
          <cell r="D1893">
            <v>41984</v>
          </cell>
          <cell r="U1893">
            <v>0</v>
          </cell>
          <cell r="Z1893">
            <v>1</v>
          </cell>
        </row>
        <row r="1894">
          <cell r="D1894">
            <v>41984</v>
          </cell>
          <cell r="U1894">
            <v>0</v>
          </cell>
          <cell r="Z1894">
            <v>1</v>
          </cell>
        </row>
        <row r="1895">
          <cell r="D1895">
            <v>41984</v>
          </cell>
          <cell r="U1895">
            <v>0</v>
          </cell>
          <cell r="Z1895">
            <v>1</v>
          </cell>
        </row>
        <row r="1896">
          <cell r="D1896">
            <v>41984</v>
          </cell>
          <cell r="U1896">
            <v>3</v>
          </cell>
          <cell r="Z1896">
            <v>0</v>
          </cell>
        </row>
        <row r="1897">
          <cell r="D1897">
            <v>41984</v>
          </cell>
          <cell r="U1897">
            <v>1</v>
          </cell>
          <cell r="Z1897">
            <v>0</v>
          </cell>
        </row>
        <row r="1898">
          <cell r="D1898">
            <v>41984</v>
          </cell>
          <cell r="U1898">
            <v>0</v>
          </cell>
          <cell r="Z1898">
            <v>1</v>
          </cell>
        </row>
        <row r="1899">
          <cell r="D1899">
            <v>41984</v>
          </cell>
          <cell r="U1899">
            <v>0</v>
          </cell>
          <cell r="Z1899">
            <v>1</v>
          </cell>
        </row>
        <row r="1900">
          <cell r="D1900">
            <v>41984</v>
          </cell>
          <cell r="U1900">
            <v>1</v>
          </cell>
          <cell r="Z1900">
            <v>0</v>
          </cell>
        </row>
        <row r="1901">
          <cell r="D1901">
            <v>41984</v>
          </cell>
          <cell r="U1901">
            <v>2</v>
          </cell>
          <cell r="Z1901">
            <v>0</v>
          </cell>
        </row>
        <row r="1902">
          <cell r="D1902">
            <v>41984</v>
          </cell>
          <cell r="U1902">
            <v>0</v>
          </cell>
          <cell r="Z1902">
            <v>1</v>
          </cell>
        </row>
        <row r="1903">
          <cell r="D1903">
            <v>41984</v>
          </cell>
          <cell r="U1903">
            <v>0</v>
          </cell>
          <cell r="Z1903">
            <v>1</v>
          </cell>
        </row>
        <row r="1904">
          <cell r="D1904">
            <v>41984</v>
          </cell>
          <cell r="U1904">
            <v>2</v>
          </cell>
          <cell r="Z1904">
            <v>0</v>
          </cell>
        </row>
        <row r="1905">
          <cell r="D1905">
            <v>41984</v>
          </cell>
          <cell r="U1905">
            <v>2</v>
          </cell>
          <cell r="Z1905">
            <v>0</v>
          </cell>
        </row>
        <row r="1906">
          <cell r="D1906">
            <v>41984</v>
          </cell>
          <cell r="U1906">
            <v>2</v>
          </cell>
          <cell r="Z1906">
            <v>0</v>
          </cell>
        </row>
        <row r="1907">
          <cell r="D1907">
            <v>41984</v>
          </cell>
          <cell r="U1907">
            <v>3</v>
          </cell>
          <cell r="Z1907">
            <v>0</v>
          </cell>
        </row>
        <row r="1908">
          <cell r="D1908">
            <v>41984</v>
          </cell>
          <cell r="U1908">
            <v>0</v>
          </cell>
          <cell r="Z1908">
            <v>1</v>
          </cell>
        </row>
        <row r="1909">
          <cell r="D1909">
            <v>41984</v>
          </cell>
          <cell r="U1909">
            <v>0</v>
          </cell>
          <cell r="Z1909">
            <v>1</v>
          </cell>
        </row>
        <row r="1910">
          <cell r="D1910">
            <v>41984</v>
          </cell>
          <cell r="U1910">
            <v>0</v>
          </cell>
          <cell r="Z1910">
            <v>1</v>
          </cell>
        </row>
        <row r="1911">
          <cell r="D1911">
            <v>41984</v>
          </cell>
          <cell r="U1911">
            <v>0</v>
          </cell>
          <cell r="Z1911">
            <v>1</v>
          </cell>
        </row>
        <row r="1912">
          <cell r="D1912">
            <v>41984</v>
          </cell>
          <cell r="U1912">
            <v>2</v>
          </cell>
          <cell r="Z1912">
            <v>0</v>
          </cell>
        </row>
        <row r="1913">
          <cell r="D1913">
            <v>41984</v>
          </cell>
          <cell r="U1913">
            <v>0</v>
          </cell>
          <cell r="Z1913">
            <v>1</v>
          </cell>
        </row>
        <row r="1914">
          <cell r="D1914">
            <v>41984</v>
          </cell>
          <cell r="U1914">
            <v>1</v>
          </cell>
          <cell r="Z1914">
            <v>0</v>
          </cell>
        </row>
        <row r="1915">
          <cell r="D1915">
            <v>41984</v>
          </cell>
          <cell r="U1915">
            <v>0</v>
          </cell>
          <cell r="Z1915">
            <v>1</v>
          </cell>
        </row>
        <row r="1916">
          <cell r="D1916">
            <v>41984</v>
          </cell>
          <cell r="U1916">
            <v>0</v>
          </cell>
          <cell r="Z1916">
            <v>1</v>
          </cell>
        </row>
        <row r="1917">
          <cell r="D1917">
            <v>41984</v>
          </cell>
          <cell r="U1917">
            <v>0</v>
          </cell>
          <cell r="Z1917">
            <v>1</v>
          </cell>
        </row>
        <row r="1918">
          <cell r="D1918">
            <v>41984</v>
          </cell>
          <cell r="U1918">
            <v>1</v>
          </cell>
          <cell r="Z1918">
            <v>0</v>
          </cell>
        </row>
        <row r="1919">
          <cell r="D1919">
            <v>41984</v>
          </cell>
          <cell r="U1919">
            <v>2</v>
          </cell>
          <cell r="Z1919">
            <v>0</v>
          </cell>
        </row>
        <row r="1920">
          <cell r="D1920">
            <v>41984</v>
          </cell>
          <cell r="U1920">
            <v>0</v>
          </cell>
          <cell r="Z1920">
            <v>1</v>
          </cell>
        </row>
        <row r="1921">
          <cell r="D1921">
            <v>41984</v>
          </cell>
          <cell r="U1921">
            <v>0</v>
          </cell>
          <cell r="Z1921">
            <v>1</v>
          </cell>
        </row>
        <row r="1922">
          <cell r="D1922">
            <v>41984</v>
          </cell>
          <cell r="U1922">
            <v>3</v>
          </cell>
          <cell r="Z1922">
            <v>0</v>
          </cell>
        </row>
        <row r="1923">
          <cell r="D1923">
            <v>41984</v>
          </cell>
          <cell r="U1923">
            <v>3</v>
          </cell>
          <cell r="Z1923">
            <v>0</v>
          </cell>
        </row>
        <row r="1924">
          <cell r="D1924">
            <v>41984</v>
          </cell>
          <cell r="U1924">
            <v>3</v>
          </cell>
          <cell r="Z1924">
            <v>0</v>
          </cell>
        </row>
        <row r="1925">
          <cell r="D1925">
            <v>41984</v>
          </cell>
          <cell r="U1925">
            <v>0</v>
          </cell>
          <cell r="Z1925">
            <v>1</v>
          </cell>
        </row>
        <row r="1926">
          <cell r="D1926">
            <v>41984</v>
          </cell>
          <cell r="U1926">
            <v>0</v>
          </cell>
          <cell r="Z1926">
            <v>1</v>
          </cell>
        </row>
        <row r="1927">
          <cell r="D1927">
            <v>41984</v>
          </cell>
          <cell r="U1927">
            <v>3</v>
          </cell>
          <cell r="Z1927">
            <v>0</v>
          </cell>
        </row>
        <row r="1928">
          <cell r="D1928">
            <v>41984</v>
          </cell>
          <cell r="U1928">
            <v>2</v>
          </cell>
          <cell r="Z1928">
            <v>0</v>
          </cell>
        </row>
        <row r="1929">
          <cell r="D1929">
            <v>41984</v>
          </cell>
          <cell r="U1929">
            <v>0</v>
          </cell>
          <cell r="Z1929">
            <v>1</v>
          </cell>
        </row>
        <row r="1930">
          <cell r="D1930">
            <v>41984</v>
          </cell>
          <cell r="U1930">
            <v>0</v>
          </cell>
          <cell r="Z1930">
            <v>1</v>
          </cell>
        </row>
        <row r="1931">
          <cell r="D1931">
            <v>41984</v>
          </cell>
          <cell r="U1931">
            <v>0</v>
          </cell>
          <cell r="Z1931">
            <v>1</v>
          </cell>
        </row>
        <row r="1932">
          <cell r="D1932">
            <v>41984</v>
          </cell>
          <cell r="U1932">
            <v>0</v>
          </cell>
          <cell r="Z1932">
            <v>1</v>
          </cell>
        </row>
        <row r="1933">
          <cell r="D1933">
            <v>41984</v>
          </cell>
          <cell r="U1933">
            <v>0</v>
          </cell>
          <cell r="Z1933">
            <v>1</v>
          </cell>
        </row>
        <row r="1934">
          <cell r="D1934">
            <v>41984</v>
          </cell>
          <cell r="U1934">
            <v>2</v>
          </cell>
          <cell r="Z1934">
            <v>0</v>
          </cell>
        </row>
        <row r="1935">
          <cell r="D1935">
            <v>41984</v>
          </cell>
          <cell r="U1935">
            <v>0</v>
          </cell>
          <cell r="Z1935">
            <v>1</v>
          </cell>
        </row>
        <row r="1936">
          <cell r="D1936">
            <v>41984</v>
          </cell>
          <cell r="U1936">
            <v>0</v>
          </cell>
          <cell r="Z1936">
            <v>1</v>
          </cell>
        </row>
        <row r="1937">
          <cell r="D1937">
            <v>41984</v>
          </cell>
          <cell r="U1937">
            <v>3</v>
          </cell>
          <cell r="Z1937">
            <v>0</v>
          </cell>
        </row>
        <row r="1938">
          <cell r="D1938">
            <v>41984</v>
          </cell>
          <cell r="U1938">
            <v>1</v>
          </cell>
          <cell r="Z1938">
            <v>0</v>
          </cell>
        </row>
        <row r="1939">
          <cell r="D1939">
            <v>41984</v>
          </cell>
          <cell r="U1939">
            <v>0</v>
          </cell>
          <cell r="Z1939">
            <v>1</v>
          </cell>
        </row>
        <row r="1940">
          <cell r="D1940">
            <v>41984</v>
          </cell>
          <cell r="U1940">
            <v>0</v>
          </cell>
          <cell r="Z1940">
            <v>1</v>
          </cell>
        </row>
        <row r="1941">
          <cell r="D1941">
            <v>41984</v>
          </cell>
          <cell r="U1941">
            <v>2</v>
          </cell>
          <cell r="Z1941">
            <v>0</v>
          </cell>
        </row>
        <row r="1942">
          <cell r="D1942">
            <v>41984</v>
          </cell>
          <cell r="U1942">
            <v>2</v>
          </cell>
          <cell r="Z1942">
            <v>0</v>
          </cell>
        </row>
        <row r="1943">
          <cell r="D1943">
            <v>41984</v>
          </cell>
          <cell r="U1943">
            <v>0</v>
          </cell>
          <cell r="Z1943">
            <v>1</v>
          </cell>
        </row>
        <row r="1944">
          <cell r="D1944">
            <v>41984</v>
          </cell>
          <cell r="U1944">
            <v>2</v>
          </cell>
          <cell r="Z1944">
            <v>0</v>
          </cell>
        </row>
        <row r="1945">
          <cell r="D1945">
            <v>41984</v>
          </cell>
          <cell r="U1945">
            <v>0</v>
          </cell>
          <cell r="Z1945">
            <v>1</v>
          </cell>
        </row>
        <row r="1946">
          <cell r="D1946">
            <v>41984</v>
          </cell>
          <cell r="U1946">
            <v>0</v>
          </cell>
          <cell r="Z1946">
            <v>1</v>
          </cell>
        </row>
        <row r="1947">
          <cell r="D1947">
            <v>41984</v>
          </cell>
          <cell r="U1947">
            <v>0</v>
          </cell>
          <cell r="Z1947">
            <v>1</v>
          </cell>
        </row>
        <row r="1948">
          <cell r="D1948">
            <v>41984</v>
          </cell>
          <cell r="U1948">
            <v>2</v>
          </cell>
          <cell r="Z1948">
            <v>0</v>
          </cell>
        </row>
        <row r="1949">
          <cell r="D1949">
            <v>41984</v>
          </cell>
          <cell r="U1949">
            <v>0</v>
          </cell>
          <cell r="Z1949">
            <v>1</v>
          </cell>
        </row>
        <row r="1950">
          <cell r="D1950">
            <v>41984</v>
          </cell>
          <cell r="U1950">
            <v>2</v>
          </cell>
          <cell r="Z1950">
            <v>0</v>
          </cell>
        </row>
        <row r="1951">
          <cell r="D1951">
            <v>41984</v>
          </cell>
          <cell r="U1951">
            <v>0</v>
          </cell>
          <cell r="Z1951">
            <v>1</v>
          </cell>
        </row>
        <row r="1952">
          <cell r="D1952">
            <v>41984</v>
          </cell>
          <cell r="U1952">
            <v>2</v>
          </cell>
          <cell r="Z1952">
            <v>0</v>
          </cell>
        </row>
        <row r="1953">
          <cell r="D1953">
            <v>41984</v>
          </cell>
          <cell r="U1953">
            <v>0</v>
          </cell>
          <cell r="Z1953">
            <v>1</v>
          </cell>
        </row>
        <row r="1954">
          <cell r="D1954">
            <v>41984</v>
          </cell>
          <cell r="U1954">
            <v>0</v>
          </cell>
          <cell r="Z1954">
            <v>1</v>
          </cell>
        </row>
        <row r="1955">
          <cell r="D1955">
            <v>41984</v>
          </cell>
          <cell r="U1955">
            <v>0</v>
          </cell>
          <cell r="Z1955">
            <v>1</v>
          </cell>
        </row>
        <row r="1956">
          <cell r="D1956">
            <v>41984</v>
          </cell>
          <cell r="U1956">
            <v>2</v>
          </cell>
          <cell r="Z1956">
            <v>0</v>
          </cell>
        </row>
        <row r="1957">
          <cell r="D1957">
            <v>41984</v>
          </cell>
          <cell r="U1957">
            <v>0</v>
          </cell>
          <cell r="Z1957">
            <v>1</v>
          </cell>
        </row>
        <row r="1958">
          <cell r="D1958">
            <v>41984</v>
          </cell>
          <cell r="U1958">
            <v>0</v>
          </cell>
          <cell r="Z1958">
            <v>1</v>
          </cell>
        </row>
        <row r="1959">
          <cell r="D1959">
            <v>41984</v>
          </cell>
          <cell r="U1959">
            <v>0</v>
          </cell>
          <cell r="Z1959">
            <v>1</v>
          </cell>
        </row>
        <row r="1960">
          <cell r="D1960">
            <v>41984</v>
          </cell>
          <cell r="U1960">
            <v>0</v>
          </cell>
          <cell r="Z1960">
            <v>1</v>
          </cell>
        </row>
        <row r="1961">
          <cell r="D1961">
            <v>41984</v>
          </cell>
          <cell r="U1961">
            <v>0</v>
          </cell>
          <cell r="Z1961">
            <v>1</v>
          </cell>
        </row>
        <row r="1962">
          <cell r="D1962">
            <v>41984</v>
          </cell>
          <cell r="U1962">
            <v>0</v>
          </cell>
          <cell r="Z1962">
            <v>1</v>
          </cell>
        </row>
        <row r="1963">
          <cell r="D1963">
            <v>41984</v>
          </cell>
          <cell r="U1963">
            <v>0</v>
          </cell>
          <cell r="Z1963">
            <v>1</v>
          </cell>
        </row>
        <row r="1964">
          <cell r="D1964">
            <v>41984</v>
          </cell>
          <cell r="U1964">
            <v>0</v>
          </cell>
          <cell r="Z1964">
            <v>1</v>
          </cell>
        </row>
        <row r="1965">
          <cell r="D1965">
            <v>41984</v>
          </cell>
          <cell r="U1965">
            <v>0</v>
          </cell>
          <cell r="Z1965">
            <v>1</v>
          </cell>
        </row>
        <row r="1966">
          <cell r="D1966">
            <v>41984</v>
          </cell>
          <cell r="U1966">
            <v>2</v>
          </cell>
          <cell r="Z1966">
            <v>0</v>
          </cell>
        </row>
        <row r="1967">
          <cell r="D1967">
            <v>41984</v>
          </cell>
          <cell r="U1967">
            <v>1</v>
          </cell>
          <cell r="Z1967">
            <v>0</v>
          </cell>
        </row>
        <row r="1968">
          <cell r="D1968">
            <v>41984</v>
          </cell>
          <cell r="U1968">
            <v>2</v>
          </cell>
          <cell r="Z1968">
            <v>0</v>
          </cell>
        </row>
        <row r="1969">
          <cell r="D1969">
            <v>41984</v>
          </cell>
          <cell r="U1969">
            <v>2</v>
          </cell>
          <cell r="Z1969">
            <v>0</v>
          </cell>
        </row>
        <row r="1970">
          <cell r="D1970">
            <v>41984</v>
          </cell>
          <cell r="U1970">
            <v>2</v>
          </cell>
          <cell r="Z1970">
            <v>0</v>
          </cell>
        </row>
        <row r="1971">
          <cell r="D1971">
            <v>41984</v>
          </cell>
          <cell r="U1971">
            <v>2</v>
          </cell>
          <cell r="Z1971">
            <v>0</v>
          </cell>
        </row>
        <row r="1972">
          <cell r="D1972">
            <v>41984</v>
          </cell>
          <cell r="U1972">
            <v>0</v>
          </cell>
          <cell r="Z1972">
            <v>1</v>
          </cell>
        </row>
        <row r="1973">
          <cell r="D1973">
            <v>41985</v>
          </cell>
          <cell r="U1973">
            <v>0</v>
          </cell>
          <cell r="Z1973">
            <v>1</v>
          </cell>
        </row>
        <row r="1974">
          <cell r="D1974">
            <v>41985</v>
          </cell>
          <cell r="U1974">
            <v>2</v>
          </cell>
          <cell r="Z1974">
            <v>0</v>
          </cell>
        </row>
        <row r="1975">
          <cell r="D1975">
            <v>41985</v>
          </cell>
          <cell r="U1975">
            <v>1</v>
          </cell>
          <cell r="Z1975">
            <v>0</v>
          </cell>
        </row>
        <row r="1976">
          <cell r="D1976">
            <v>41985</v>
          </cell>
          <cell r="U1976">
            <v>3</v>
          </cell>
          <cell r="Z1976">
            <v>0</v>
          </cell>
        </row>
        <row r="1977">
          <cell r="D1977">
            <v>41985</v>
          </cell>
          <cell r="U1977">
            <v>2</v>
          </cell>
          <cell r="Z1977">
            <v>0</v>
          </cell>
        </row>
        <row r="1978">
          <cell r="D1978">
            <v>41985</v>
          </cell>
          <cell r="U1978">
            <v>1</v>
          </cell>
          <cell r="Z1978">
            <v>0</v>
          </cell>
        </row>
        <row r="1979">
          <cell r="D1979">
            <v>41985</v>
          </cell>
          <cell r="U1979">
            <v>2</v>
          </cell>
          <cell r="Z1979">
            <v>0</v>
          </cell>
        </row>
        <row r="1980">
          <cell r="D1980">
            <v>41985</v>
          </cell>
          <cell r="U1980">
            <v>0</v>
          </cell>
          <cell r="Z1980">
            <v>1</v>
          </cell>
        </row>
        <row r="1981">
          <cell r="D1981">
            <v>41985</v>
          </cell>
          <cell r="U1981">
            <v>0</v>
          </cell>
          <cell r="Z1981">
            <v>1</v>
          </cell>
        </row>
        <row r="1982">
          <cell r="D1982">
            <v>41985</v>
          </cell>
          <cell r="U1982">
            <v>2</v>
          </cell>
          <cell r="Z1982">
            <v>0</v>
          </cell>
        </row>
        <row r="1983">
          <cell r="D1983">
            <v>41985</v>
          </cell>
          <cell r="U1983">
            <v>0</v>
          </cell>
          <cell r="Z1983">
            <v>1</v>
          </cell>
        </row>
        <row r="1984">
          <cell r="D1984">
            <v>41985</v>
          </cell>
          <cell r="U1984">
            <v>0</v>
          </cell>
          <cell r="Z1984">
            <v>1</v>
          </cell>
        </row>
        <row r="1985">
          <cell r="D1985">
            <v>41985</v>
          </cell>
          <cell r="U1985">
            <v>3</v>
          </cell>
          <cell r="Z1985">
            <v>0</v>
          </cell>
        </row>
        <row r="1986">
          <cell r="D1986">
            <v>41985</v>
          </cell>
          <cell r="U1986">
            <v>1</v>
          </cell>
          <cell r="Z1986">
            <v>0</v>
          </cell>
        </row>
        <row r="1987">
          <cell r="D1987">
            <v>41985</v>
          </cell>
          <cell r="U1987">
            <v>3</v>
          </cell>
          <cell r="Z1987">
            <v>0</v>
          </cell>
        </row>
        <row r="1988">
          <cell r="D1988">
            <v>41985</v>
          </cell>
          <cell r="U1988">
            <v>0</v>
          </cell>
          <cell r="Z1988">
            <v>1</v>
          </cell>
        </row>
        <row r="1989">
          <cell r="D1989">
            <v>41985</v>
          </cell>
          <cell r="U1989">
            <v>0</v>
          </cell>
          <cell r="Z1989">
            <v>1</v>
          </cell>
        </row>
        <row r="1990">
          <cell r="D1990">
            <v>41985</v>
          </cell>
          <cell r="U1990">
            <v>0</v>
          </cell>
          <cell r="Z1990">
            <v>1</v>
          </cell>
        </row>
        <row r="1991">
          <cell r="D1991">
            <v>41985</v>
          </cell>
          <cell r="U1991">
            <v>2</v>
          </cell>
          <cell r="Z1991">
            <v>0</v>
          </cell>
        </row>
        <row r="1992">
          <cell r="D1992">
            <v>41985</v>
          </cell>
          <cell r="U1992">
            <v>0</v>
          </cell>
          <cell r="Z1992">
            <v>1</v>
          </cell>
        </row>
        <row r="1993">
          <cell r="D1993">
            <v>41985</v>
          </cell>
          <cell r="U1993">
            <v>2</v>
          </cell>
          <cell r="Z1993">
            <v>0</v>
          </cell>
        </row>
        <row r="1994">
          <cell r="D1994">
            <v>41985</v>
          </cell>
          <cell r="U1994">
            <v>3</v>
          </cell>
          <cell r="Z1994">
            <v>0</v>
          </cell>
        </row>
        <row r="1995">
          <cell r="D1995">
            <v>41985</v>
          </cell>
          <cell r="U1995">
            <v>1</v>
          </cell>
          <cell r="Z1995">
            <v>0</v>
          </cell>
        </row>
        <row r="1996">
          <cell r="D1996">
            <v>41985</v>
          </cell>
          <cell r="U1996">
            <v>0</v>
          </cell>
          <cell r="Z1996">
            <v>1</v>
          </cell>
        </row>
        <row r="1997">
          <cell r="D1997">
            <v>41985</v>
          </cell>
          <cell r="U1997">
            <v>0</v>
          </cell>
          <cell r="Z1997">
            <v>1</v>
          </cell>
        </row>
        <row r="1998">
          <cell r="D1998">
            <v>41985</v>
          </cell>
          <cell r="U1998">
            <v>0</v>
          </cell>
          <cell r="Z1998">
            <v>1</v>
          </cell>
        </row>
        <row r="1999">
          <cell r="D1999">
            <v>41985</v>
          </cell>
          <cell r="U1999">
            <v>0</v>
          </cell>
          <cell r="Z1999">
            <v>1</v>
          </cell>
        </row>
        <row r="2000">
          <cell r="D2000">
            <v>41985</v>
          </cell>
          <cell r="U2000">
            <v>1</v>
          </cell>
          <cell r="Z2000">
            <v>0</v>
          </cell>
        </row>
        <row r="2001">
          <cell r="D2001">
            <v>41985</v>
          </cell>
          <cell r="U2001">
            <v>2</v>
          </cell>
          <cell r="Z2001">
            <v>0</v>
          </cell>
        </row>
        <row r="2002">
          <cell r="D2002">
            <v>41985</v>
          </cell>
          <cell r="U2002">
            <v>0</v>
          </cell>
          <cell r="Z2002">
            <v>1</v>
          </cell>
        </row>
        <row r="2003">
          <cell r="D2003">
            <v>41985</v>
          </cell>
          <cell r="U2003">
            <v>0</v>
          </cell>
          <cell r="Z2003">
            <v>1</v>
          </cell>
        </row>
        <row r="2004">
          <cell r="D2004">
            <v>41985</v>
          </cell>
          <cell r="U2004">
            <v>0</v>
          </cell>
          <cell r="Z2004">
            <v>1</v>
          </cell>
        </row>
        <row r="2005">
          <cell r="D2005">
            <v>41985</v>
          </cell>
          <cell r="U2005">
            <v>0</v>
          </cell>
          <cell r="Z2005">
            <v>1</v>
          </cell>
        </row>
        <row r="2006">
          <cell r="D2006">
            <v>41985</v>
          </cell>
          <cell r="U2006">
            <v>0</v>
          </cell>
          <cell r="Z2006">
            <v>1</v>
          </cell>
        </row>
        <row r="2007">
          <cell r="D2007">
            <v>41985</v>
          </cell>
          <cell r="U2007">
            <v>1</v>
          </cell>
          <cell r="Z2007">
            <v>0</v>
          </cell>
        </row>
        <row r="2008">
          <cell r="D2008">
            <v>41985</v>
          </cell>
          <cell r="U2008">
            <v>2</v>
          </cell>
          <cell r="Z2008">
            <v>0</v>
          </cell>
        </row>
        <row r="2009">
          <cell r="D2009">
            <v>41985</v>
          </cell>
          <cell r="U2009">
            <v>1</v>
          </cell>
          <cell r="Z2009">
            <v>0</v>
          </cell>
        </row>
        <row r="2010">
          <cell r="D2010">
            <v>41985</v>
          </cell>
          <cell r="U2010">
            <v>3</v>
          </cell>
          <cell r="Z2010">
            <v>0</v>
          </cell>
        </row>
        <row r="2011">
          <cell r="D2011">
            <v>41985</v>
          </cell>
          <cell r="U2011">
            <v>3</v>
          </cell>
          <cell r="Z2011">
            <v>0</v>
          </cell>
        </row>
        <row r="2012">
          <cell r="D2012">
            <v>41985</v>
          </cell>
          <cell r="U2012">
            <v>1</v>
          </cell>
          <cell r="Z2012">
            <v>0</v>
          </cell>
        </row>
        <row r="2013">
          <cell r="D2013">
            <v>41985</v>
          </cell>
          <cell r="U2013">
            <v>0</v>
          </cell>
          <cell r="Z2013">
            <v>1</v>
          </cell>
        </row>
        <row r="2014">
          <cell r="D2014">
            <v>41985</v>
          </cell>
          <cell r="U2014">
            <v>1</v>
          </cell>
          <cell r="Z2014">
            <v>0</v>
          </cell>
        </row>
        <row r="2015">
          <cell r="D2015">
            <v>41985</v>
          </cell>
          <cell r="U2015">
            <v>2</v>
          </cell>
          <cell r="Z2015">
            <v>0</v>
          </cell>
        </row>
        <row r="2016">
          <cell r="D2016">
            <v>41985</v>
          </cell>
          <cell r="U2016">
            <v>3</v>
          </cell>
          <cell r="Z2016">
            <v>0</v>
          </cell>
        </row>
        <row r="2017">
          <cell r="D2017">
            <v>41985</v>
          </cell>
          <cell r="U2017">
            <v>0</v>
          </cell>
          <cell r="Z2017">
            <v>1</v>
          </cell>
        </row>
        <row r="2018">
          <cell r="D2018">
            <v>41985</v>
          </cell>
          <cell r="U2018">
            <v>0</v>
          </cell>
          <cell r="Z2018">
            <v>1</v>
          </cell>
        </row>
        <row r="2019">
          <cell r="D2019">
            <v>41985</v>
          </cell>
          <cell r="U2019">
            <v>0</v>
          </cell>
          <cell r="Z2019">
            <v>1</v>
          </cell>
        </row>
        <row r="2020">
          <cell r="D2020">
            <v>41985</v>
          </cell>
          <cell r="U2020">
            <v>0</v>
          </cell>
          <cell r="Z2020">
            <v>1</v>
          </cell>
        </row>
        <row r="2021">
          <cell r="D2021">
            <v>41985</v>
          </cell>
          <cell r="U2021">
            <v>2</v>
          </cell>
          <cell r="Z2021">
            <v>0</v>
          </cell>
        </row>
        <row r="2022">
          <cell r="D2022">
            <v>41985</v>
          </cell>
          <cell r="U2022">
            <v>1</v>
          </cell>
          <cell r="Z2022">
            <v>0</v>
          </cell>
        </row>
        <row r="2023">
          <cell r="D2023">
            <v>41985</v>
          </cell>
          <cell r="U2023">
            <v>2</v>
          </cell>
          <cell r="Z2023">
            <v>0</v>
          </cell>
        </row>
        <row r="2024">
          <cell r="D2024">
            <v>41985</v>
          </cell>
          <cell r="U2024">
            <v>0</v>
          </cell>
          <cell r="Z2024">
            <v>1</v>
          </cell>
        </row>
        <row r="2025">
          <cell r="D2025">
            <v>41985</v>
          </cell>
          <cell r="U2025">
            <v>0</v>
          </cell>
          <cell r="Z2025">
            <v>1</v>
          </cell>
        </row>
        <row r="2026">
          <cell r="D2026">
            <v>41985</v>
          </cell>
          <cell r="U2026">
            <v>2</v>
          </cell>
          <cell r="Z2026">
            <v>0</v>
          </cell>
        </row>
        <row r="2027">
          <cell r="D2027">
            <v>41985</v>
          </cell>
          <cell r="U2027">
            <v>2</v>
          </cell>
          <cell r="Z2027">
            <v>0</v>
          </cell>
        </row>
        <row r="2028">
          <cell r="D2028">
            <v>41985</v>
          </cell>
          <cell r="U2028">
            <v>2</v>
          </cell>
          <cell r="Z2028">
            <v>0</v>
          </cell>
        </row>
        <row r="2029">
          <cell r="D2029">
            <v>41985</v>
          </cell>
          <cell r="U2029">
            <v>3</v>
          </cell>
          <cell r="Z2029">
            <v>0</v>
          </cell>
        </row>
        <row r="2030">
          <cell r="D2030">
            <v>41985</v>
          </cell>
          <cell r="U2030">
            <v>0</v>
          </cell>
          <cell r="Z2030">
            <v>1</v>
          </cell>
        </row>
        <row r="2031">
          <cell r="D2031">
            <v>41985</v>
          </cell>
          <cell r="U2031">
            <v>3</v>
          </cell>
          <cell r="Z2031">
            <v>0</v>
          </cell>
        </row>
        <row r="2032">
          <cell r="D2032">
            <v>41985</v>
          </cell>
          <cell r="U2032">
            <v>1</v>
          </cell>
          <cell r="Z2032">
            <v>0</v>
          </cell>
        </row>
        <row r="2033">
          <cell r="D2033">
            <v>41985</v>
          </cell>
          <cell r="U2033">
            <v>1</v>
          </cell>
          <cell r="Z2033">
            <v>0</v>
          </cell>
        </row>
        <row r="2034">
          <cell r="D2034">
            <v>41985</v>
          </cell>
          <cell r="U2034">
            <v>2</v>
          </cell>
          <cell r="Z2034">
            <v>0</v>
          </cell>
        </row>
        <row r="2035">
          <cell r="D2035">
            <v>41985</v>
          </cell>
          <cell r="U2035">
            <v>0</v>
          </cell>
          <cell r="Z2035">
            <v>1</v>
          </cell>
        </row>
        <row r="2036">
          <cell r="D2036">
            <v>41985</v>
          </cell>
          <cell r="U2036">
            <v>2</v>
          </cell>
          <cell r="Z2036">
            <v>0</v>
          </cell>
        </row>
        <row r="2037">
          <cell r="D2037">
            <v>41985</v>
          </cell>
          <cell r="U2037">
            <v>1</v>
          </cell>
          <cell r="Z2037">
            <v>0</v>
          </cell>
        </row>
        <row r="2038">
          <cell r="D2038">
            <v>41985</v>
          </cell>
          <cell r="U2038">
            <v>0</v>
          </cell>
          <cell r="Z2038">
            <v>1</v>
          </cell>
        </row>
        <row r="2039">
          <cell r="D2039">
            <v>41985</v>
          </cell>
          <cell r="U2039">
            <v>1</v>
          </cell>
          <cell r="Z2039">
            <v>0</v>
          </cell>
        </row>
        <row r="2040">
          <cell r="D2040">
            <v>41985</v>
          </cell>
          <cell r="U2040">
            <v>3</v>
          </cell>
          <cell r="Z2040">
            <v>0</v>
          </cell>
        </row>
        <row r="2041">
          <cell r="D2041">
            <v>41985</v>
          </cell>
          <cell r="U2041">
            <v>2</v>
          </cell>
          <cell r="Z2041">
            <v>0</v>
          </cell>
        </row>
        <row r="2042">
          <cell r="D2042">
            <v>41985</v>
          </cell>
          <cell r="U2042">
            <v>0</v>
          </cell>
          <cell r="Z2042">
            <v>1</v>
          </cell>
        </row>
        <row r="2043">
          <cell r="D2043">
            <v>41985</v>
          </cell>
          <cell r="U2043">
            <v>0</v>
          </cell>
          <cell r="Z2043">
            <v>1</v>
          </cell>
        </row>
        <row r="2044">
          <cell r="D2044">
            <v>41985</v>
          </cell>
          <cell r="U2044">
            <v>0</v>
          </cell>
          <cell r="Z2044">
            <v>1</v>
          </cell>
        </row>
        <row r="2045">
          <cell r="D2045">
            <v>41985</v>
          </cell>
          <cell r="U2045">
            <v>2</v>
          </cell>
          <cell r="Z2045">
            <v>0</v>
          </cell>
        </row>
        <row r="2046">
          <cell r="D2046">
            <v>41985</v>
          </cell>
          <cell r="U2046">
            <v>1</v>
          </cell>
          <cell r="Z2046">
            <v>0</v>
          </cell>
        </row>
        <row r="2047">
          <cell r="D2047">
            <v>41985</v>
          </cell>
          <cell r="U2047">
            <v>0</v>
          </cell>
          <cell r="Z2047">
            <v>1</v>
          </cell>
        </row>
        <row r="2048">
          <cell r="D2048">
            <v>41985</v>
          </cell>
          <cell r="U2048">
            <v>0</v>
          </cell>
          <cell r="Z2048">
            <v>1</v>
          </cell>
        </row>
        <row r="2049">
          <cell r="D2049">
            <v>41985</v>
          </cell>
          <cell r="U2049">
            <v>0</v>
          </cell>
          <cell r="Z2049">
            <v>1</v>
          </cell>
        </row>
        <row r="2050">
          <cell r="D2050">
            <v>41985</v>
          </cell>
          <cell r="U2050">
            <v>3</v>
          </cell>
          <cell r="Z2050">
            <v>0</v>
          </cell>
        </row>
        <row r="2051">
          <cell r="D2051">
            <v>41985</v>
          </cell>
          <cell r="U2051">
            <v>0</v>
          </cell>
          <cell r="Z2051">
            <v>1</v>
          </cell>
        </row>
        <row r="2052">
          <cell r="D2052">
            <v>41985</v>
          </cell>
          <cell r="U2052">
            <v>1</v>
          </cell>
          <cell r="Z2052">
            <v>0</v>
          </cell>
        </row>
        <row r="2053">
          <cell r="D2053">
            <v>41985</v>
          </cell>
          <cell r="U2053">
            <v>3</v>
          </cell>
          <cell r="Z2053">
            <v>0</v>
          </cell>
        </row>
        <row r="2054">
          <cell r="D2054">
            <v>41985</v>
          </cell>
          <cell r="U2054">
            <v>3</v>
          </cell>
          <cell r="Z2054">
            <v>0</v>
          </cell>
        </row>
        <row r="2055">
          <cell r="D2055">
            <v>41985</v>
          </cell>
          <cell r="U2055">
            <v>0</v>
          </cell>
          <cell r="Z2055">
            <v>1</v>
          </cell>
        </row>
        <row r="2056">
          <cell r="D2056">
            <v>41985</v>
          </cell>
          <cell r="U2056">
            <v>0</v>
          </cell>
          <cell r="Z2056">
            <v>1</v>
          </cell>
        </row>
        <row r="2057">
          <cell r="D2057">
            <v>41985</v>
          </cell>
          <cell r="U2057">
            <v>0</v>
          </cell>
          <cell r="Z2057">
            <v>1</v>
          </cell>
        </row>
        <row r="2058">
          <cell r="D2058">
            <v>41985</v>
          </cell>
          <cell r="U2058">
            <v>0</v>
          </cell>
          <cell r="Z2058">
            <v>1</v>
          </cell>
        </row>
        <row r="2059">
          <cell r="D2059">
            <v>41985</v>
          </cell>
          <cell r="U2059">
            <v>2</v>
          </cell>
          <cell r="Z2059">
            <v>0</v>
          </cell>
        </row>
        <row r="2060">
          <cell r="D2060">
            <v>41985</v>
          </cell>
          <cell r="U2060">
            <v>0</v>
          </cell>
          <cell r="Z2060">
            <v>1</v>
          </cell>
        </row>
        <row r="2061">
          <cell r="D2061">
            <v>41985</v>
          </cell>
          <cell r="U2061">
            <v>0</v>
          </cell>
          <cell r="Z2061">
            <v>1</v>
          </cell>
        </row>
        <row r="2062">
          <cell r="D2062">
            <v>41985</v>
          </cell>
          <cell r="U2062">
            <v>0</v>
          </cell>
          <cell r="Z2062">
            <v>1</v>
          </cell>
        </row>
        <row r="2063">
          <cell r="D2063">
            <v>41985</v>
          </cell>
          <cell r="U2063">
            <v>0</v>
          </cell>
          <cell r="Z2063">
            <v>1</v>
          </cell>
        </row>
        <row r="2064">
          <cell r="D2064">
            <v>41985</v>
          </cell>
          <cell r="U2064">
            <v>0</v>
          </cell>
          <cell r="Z2064">
            <v>1</v>
          </cell>
        </row>
        <row r="2065">
          <cell r="D2065">
            <v>41985</v>
          </cell>
          <cell r="U2065">
            <v>0</v>
          </cell>
          <cell r="Z2065">
            <v>1</v>
          </cell>
        </row>
        <row r="2066">
          <cell r="D2066">
            <v>41985</v>
          </cell>
          <cell r="U2066">
            <v>2</v>
          </cell>
          <cell r="Z2066">
            <v>0</v>
          </cell>
        </row>
        <row r="2067">
          <cell r="D2067">
            <v>41985</v>
          </cell>
          <cell r="U2067">
            <v>0</v>
          </cell>
          <cell r="Z2067">
            <v>1</v>
          </cell>
        </row>
        <row r="2068">
          <cell r="D2068">
            <v>41985</v>
          </cell>
          <cell r="U2068">
            <v>0</v>
          </cell>
          <cell r="Z2068">
            <v>1</v>
          </cell>
        </row>
        <row r="2069">
          <cell r="D2069">
            <v>41985</v>
          </cell>
          <cell r="U2069">
            <v>2</v>
          </cell>
          <cell r="Z2069">
            <v>0</v>
          </cell>
        </row>
        <row r="2070">
          <cell r="D2070">
            <v>41985</v>
          </cell>
          <cell r="U2070">
            <v>0</v>
          </cell>
          <cell r="Z2070">
            <v>1</v>
          </cell>
        </row>
        <row r="2071">
          <cell r="D2071">
            <v>41985</v>
          </cell>
          <cell r="U2071">
            <v>2</v>
          </cell>
          <cell r="Z2071">
            <v>0</v>
          </cell>
        </row>
        <row r="2072">
          <cell r="D2072">
            <v>41985</v>
          </cell>
          <cell r="U2072">
            <v>0</v>
          </cell>
          <cell r="Z2072">
            <v>1</v>
          </cell>
        </row>
        <row r="2073">
          <cell r="D2073">
            <v>41985</v>
          </cell>
          <cell r="U2073">
            <v>0</v>
          </cell>
          <cell r="Z2073">
            <v>1</v>
          </cell>
        </row>
        <row r="2074">
          <cell r="D2074">
            <v>41985</v>
          </cell>
          <cell r="U2074">
            <v>0</v>
          </cell>
          <cell r="Z2074">
            <v>1</v>
          </cell>
        </row>
        <row r="2075">
          <cell r="D2075">
            <v>41985</v>
          </cell>
          <cell r="U2075">
            <v>0</v>
          </cell>
          <cell r="Z2075">
            <v>1</v>
          </cell>
        </row>
        <row r="2076">
          <cell r="D2076">
            <v>41985</v>
          </cell>
          <cell r="U2076">
            <v>2</v>
          </cell>
          <cell r="Z2076">
            <v>0</v>
          </cell>
        </row>
        <row r="2077">
          <cell r="D2077">
            <v>41985</v>
          </cell>
          <cell r="U2077">
            <v>1</v>
          </cell>
          <cell r="Z2077">
            <v>0</v>
          </cell>
        </row>
        <row r="2078">
          <cell r="D2078">
            <v>41985</v>
          </cell>
          <cell r="U2078">
            <v>0</v>
          </cell>
          <cell r="Z2078">
            <v>1</v>
          </cell>
        </row>
        <row r="2079">
          <cell r="D2079">
            <v>41985</v>
          </cell>
          <cell r="U2079">
            <v>0</v>
          </cell>
          <cell r="Z2079">
            <v>1</v>
          </cell>
        </row>
        <row r="2080">
          <cell r="D2080">
            <v>41985</v>
          </cell>
          <cell r="U2080">
            <v>0</v>
          </cell>
          <cell r="Z2080">
            <v>1</v>
          </cell>
        </row>
        <row r="2081">
          <cell r="D2081">
            <v>41985</v>
          </cell>
          <cell r="U2081">
            <v>3</v>
          </cell>
          <cell r="Z2081">
            <v>0</v>
          </cell>
        </row>
        <row r="2082">
          <cell r="D2082">
            <v>41985</v>
          </cell>
          <cell r="U2082">
            <v>0</v>
          </cell>
          <cell r="Z2082">
            <v>1</v>
          </cell>
        </row>
        <row r="2083">
          <cell r="D2083">
            <v>41985</v>
          </cell>
          <cell r="U2083">
            <v>3</v>
          </cell>
          <cell r="Z2083">
            <v>0</v>
          </cell>
        </row>
        <row r="2084">
          <cell r="D2084">
            <v>41985</v>
          </cell>
          <cell r="U2084">
            <v>0</v>
          </cell>
          <cell r="Z2084">
            <v>1</v>
          </cell>
        </row>
        <row r="2085">
          <cell r="D2085">
            <v>41985</v>
          </cell>
          <cell r="U2085">
            <v>0</v>
          </cell>
          <cell r="Z2085">
            <v>1</v>
          </cell>
        </row>
        <row r="2086">
          <cell r="D2086">
            <v>41985</v>
          </cell>
          <cell r="U2086">
            <v>0</v>
          </cell>
          <cell r="Z2086">
            <v>1</v>
          </cell>
        </row>
        <row r="2087">
          <cell r="D2087">
            <v>41985</v>
          </cell>
          <cell r="U2087">
            <v>0</v>
          </cell>
          <cell r="Z2087">
            <v>1</v>
          </cell>
        </row>
        <row r="2088">
          <cell r="D2088">
            <v>41985</v>
          </cell>
          <cell r="U2088">
            <v>3</v>
          </cell>
          <cell r="Z2088">
            <v>0</v>
          </cell>
        </row>
        <row r="2089">
          <cell r="D2089">
            <v>41985</v>
          </cell>
          <cell r="U2089">
            <v>0</v>
          </cell>
          <cell r="Z2089">
            <v>1</v>
          </cell>
        </row>
        <row r="2090">
          <cell r="D2090">
            <v>41985</v>
          </cell>
          <cell r="U2090">
            <v>3</v>
          </cell>
          <cell r="Z2090">
            <v>0</v>
          </cell>
        </row>
        <row r="2091">
          <cell r="D2091">
            <v>41985</v>
          </cell>
          <cell r="U2091">
            <v>0</v>
          </cell>
          <cell r="Z2091">
            <v>1</v>
          </cell>
        </row>
        <row r="2092">
          <cell r="D2092">
            <v>41985</v>
          </cell>
          <cell r="U2092">
            <v>0</v>
          </cell>
          <cell r="Z2092">
            <v>1</v>
          </cell>
        </row>
        <row r="2093">
          <cell r="D2093">
            <v>41985</v>
          </cell>
          <cell r="U2093">
            <v>0</v>
          </cell>
          <cell r="Z2093">
            <v>1</v>
          </cell>
        </row>
        <row r="2094">
          <cell r="D2094">
            <v>41985</v>
          </cell>
          <cell r="U2094">
            <v>3</v>
          </cell>
          <cell r="Z2094">
            <v>0</v>
          </cell>
        </row>
        <row r="2095">
          <cell r="D2095">
            <v>41985</v>
          </cell>
          <cell r="U2095">
            <v>0</v>
          </cell>
          <cell r="Z2095">
            <v>1</v>
          </cell>
        </row>
        <row r="2096">
          <cell r="D2096">
            <v>41985</v>
          </cell>
          <cell r="U2096">
            <v>1</v>
          </cell>
          <cell r="Z2096">
            <v>0</v>
          </cell>
        </row>
        <row r="2097">
          <cell r="D2097">
            <v>41985</v>
          </cell>
          <cell r="U2097">
            <v>0</v>
          </cell>
          <cell r="Z2097">
            <v>1</v>
          </cell>
        </row>
        <row r="2098">
          <cell r="D2098">
            <v>41985</v>
          </cell>
          <cell r="U2098">
            <v>0</v>
          </cell>
          <cell r="Z2098">
            <v>1</v>
          </cell>
        </row>
        <row r="2099">
          <cell r="D2099">
            <v>41985</v>
          </cell>
          <cell r="U2099">
            <v>0</v>
          </cell>
          <cell r="Z2099">
            <v>1</v>
          </cell>
        </row>
        <row r="2100">
          <cell r="D2100">
            <v>41985</v>
          </cell>
          <cell r="U2100">
            <v>1</v>
          </cell>
          <cell r="Z2100">
            <v>0</v>
          </cell>
        </row>
        <row r="2101">
          <cell r="D2101">
            <v>41985</v>
          </cell>
          <cell r="U2101">
            <v>3</v>
          </cell>
          <cell r="Z2101">
            <v>0</v>
          </cell>
        </row>
        <row r="2102">
          <cell r="D2102">
            <v>41985</v>
          </cell>
          <cell r="U2102">
            <v>1</v>
          </cell>
          <cell r="Z2102">
            <v>0</v>
          </cell>
        </row>
        <row r="2103">
          <cell r="D2103">
            <v>41985</v>
          </cell>
          <cell r="U2103">
            <v>1</v>
          </cell>
          <cell r="Z2103">
            <v>0</v>
          </cell>
        </row>
        <row r="2104">
          <cell r="D2104">
            <v>41985</v>
          </cell>
          <cell r="U2104">
            <v>0</v>
          </cell>
          <cell r="Z2104">
            <v>1</v>
          </cell>
        </row>
        <row r="2105">
          <cell r="D2105">
            <v>41985</v>
          </cell>
          <cell r="U2105">
            <v>0</v>
          </cell>
          <cell r="Z2105">
            <v>1</v>
          </cell>
        </row>
        <row r="2106">
          <cell r="D2106">
            <v>41985</v>
          </cell>
          <cell r="U2106">
            <v>0</v>
          </cell>
          <cell r="Z2106">
            <v>1</v>
          </cell>
        </row>
        <row r="2107">
          <cell r="D2107">
            <v>41985</v>
          </cell>
          <cell r="U2107">
            <v>0</v>
          </cell>
          <cell r="Z2107">
            <v>1</v>
          </cell>
        </row>
        <row r="2108">
          <cell r="D2108">
            <v>41985</v>
          </cell>
          <cell r="U2108">
            <v>0</v>
          </cell>
          <cell r="Z2108">
            <v>1</v>
          </cell>
        </row>
        <row r="2109">
          <cell r="D2109">
            <v>41985</v>
          </cell>
          <cell r="U2109">
            <v>1</v>
          </cell>
          <cell r="Z2109">
            <v>0</v>
          </cell>
        </row>
        <row r="2110">
          <cell r="D2110">
            <v>41985</v>
          </cell>
          <cell r="U2110">
            <v>0</v>
          </cell>
          <cell r="Z2110">
            <v>1</v>
          </cell>
        </row>
        <row r="2111">
          <cell r="D2111">
            <v>41985</v>
          </cell>
          <cell r="U2111">
            <v>0</v>
          </cell>
          <cell r="Z2111">
            <v>1</v>
          </cell>
        </row>
        <row r="2112">
          <cell r="D2112">
            <v>41985</v>
          </cell>
          <cell r="U2112">
            <v>0</v>
          </cell>
          <cell r="Z2112">
            <v>1</v>
          </cell>
        </row>
        <row r="2113">
          <cell r="D2113">
            <v>41985</v>
          </cell>
          <cell r="U2113">
            <v>2</v>
          </cell>
          <cell r="Z2113">
            <v>0</v>
          </cell>
        </row>
        <row r="2114">
          <cell r="D2114">
            <v>41985</v>
          </cell>
          <cell r="U2114">
            <v>0</v>
          </cell>
          <cell r="Z2114">
            <v>1</v>
          </cell>
        </row>
        <row r="2115">
          <cell r="D2115">
            <v>41985</v>
          </cell>
          <cell r="U2115">
            <v>2</v>
          </cell>
          <cell r="Z2115">
            <v>0</v>
          </cell>
        </row>
        <row r="2116">
          <cell r="D2116">
            <v>41985</v>
          </cell>
          <cell r="U2116">
            <v>0</v>
          </cell>
          <cell r="Z2116">
            <v>1</v>
          </cell>
        </row>
        <row r="2117">
          <cell r="D2117">
            <v>41985</v>
          </cell>
          <cell r="U2117">
            <v>2</v>
          </cell>
          <cell r="Z2117">
            <v>0</v>
          </cell>
        </row>
        <row r="2118">
          <cell r="D2118">
            <v>41985</v>
          </cell>
          <cell r="U2118">
            <v>3</v>
          </cell>
          <cell r="Z2118">
            <v>0</v>
          </cell>
        </row>
        <row r="2119">
          <cell r="D2119">
            <v>41985</v>
          </cell>
          <cell r="U2119">
            <v>1</v>
          </cell>
          <cell r="Z2119">
            <v>0</v>
          </cell>
        </row>
        <row r="2120">
          <cell r="D2120">
            <v>41985</v>
          </cell>
          <cell r="U2120">
            <v>0</v>
          </cell>
          <cell r="Z2120">
            <v>1</v>
          </cell>
        </row>
        <row r="2121">
          <cell r="D2121">
            <v>41985</v>
          </cell>
          <cell r="U2121">
            <v>0</v>
          </cell>
          <cell r="Z2121">
            <v>1</v>
          </cell>
        </row>
        <row r="2122">
          <cell r="D2122">
            <v>41985</v>
          </cell>
          <cell r="U2122">
            <v>0</v>
          </cell>
          <cell r="Z2122">
            <v>1</v>
          </cell>
        </row>
        <row r="2123">
          <cell r="D2123">
            <v>41985</v>
          </cell>
          <cell r="U2123">
            <v>0</v>
          </cell>
          <cell r="Z2123">
            <v>1</v>
          </cell>
        </row>
        <row r="2124">
          <cell r="D2124">
            <v>41985</v>
          </cell>
          <cell r="U2124">
            <v>0</v>
          </cell>
          <cell r="Z2124">
            <v>1</v>
          </cell>
        </row>
        <row r="2125">
          <cell r="D2125">
            <v>41985</v>
          </cell>
          <cell r="U2125">
            <v>0</v>
          </cell>
          <cell r="Z2125">
            <v>1</v>
          </cell>
        </row>
        <row r="2126">
          <cell r="D2126">
            <v>41985</v>
          </cell>
          <cell r="U2126">
            <v>0</v>
          </cell>
          <cell r="Z2126">
            <v>1</v>
          </cell>
        </row>
        <row r="2127">
          <cell r="D2127">
            <v>41985</v>
          </cell>
          <cell r="U2127">
            <v>0</v>
          </cell>
          <cell r="Z2127">
            <v>1</v>
          </cell>
        </row>
        <row r="2128">
          <cell r="D2128">
            <v>41986</v>
          </cell>
          <cell r="U2128">
            <v>1</v>
          </cell>
          <cell r="Z2128">
            <v>0</v>
          </cell>
        </row>
        <row r="2129">
          <cell r="D2129">
            <v>41986</v>
          </cell>
          <cell r="U2129">
            <v>0</v>
          </cell>
          <cell r="Z2129">
            <v>1</v>
          </cell>
        </row>
        <row r="2130">
          <cell r="D2130">
            <v>41986</v>
          </cell>
          <cell r="U2130">
            <v>0</v>
          </cell>
          <cell r="Z2130">
            <v>1</v>
          </cell>
        </row>
        <row r="2131">
          <cell r="D2131">
            <v>41986</v>
          </cell>
          <cell r="U2131">
            <v>0</v>
          </cell>
          <cell r="Z2131">
            <v>1</v>
          </cell>
        </row>
        <row r="2132">
          <cell r="D2132">
            <v>41986</v>
          </cell>
          <cell r="U2132">
            <v>0</v>
          </cell>
          <cell r="Z2132">
            <v>1</v>
          </cell>
        </row>
        <row r="2133">
          <cell r="D2133">
            <v>41986</v>
          </cell>
          <cell r="U2133">
            <v>2</v>
          </cell>
          <cell r="Z2133">
            <v>0</v>
          </cell>
        </row>
        <row r="2134">
          <cell r="D2134">
            <v>41986</v>
          </cell>
          <cell r="U2134">
            <v>0</v>
          </cell>
          <cell r="Z2134">
            <v>1</v>
          </cell>
        </row>
        <row r="2135">
          <cell r="D2135">
            <v>41986</v>
          </cell>
          <cell r="U2135">
            <v>0</v>
          </cell>
          <cell r="Z2135">
            <v>1</v>
          </cell>
        </row>
        <row r="2136">
          <cell r="D2136">
            <v>41986</v>
          </cell>
          <cell r="U2136">
            <v>0</v>
          </cell>
          <cell r="Z2136">
            <v>1</v>
          </cell>
        </row>
        <row r="2137">
          <cell r="D2137">
            <v>41986</v>
          </cell>
          <cell r="U2137">
            <v>3</v>
          </cell>
          <cell r="Z2137">
            <v>0</v>
          </cell>
        </row>
        <row r="2138">
          <cell r="D2138">
            <v>41986</v>
          </cell>
          <cell r="U2138">
            <v>3</v>
          </cell>
          <cell r="Z2138">
            <v>0</v>
          </cell>
        </row>
        <row r="2139">
          <cell r="D2139">
            <v>41986</v>
          </cell>
          <cell r="U2139">
            <v>0</v>
          </cell>
          <cell r="Z2139">
            <v>1</v>
          </cell>
        </row>
        <row r="2140">
          <cell r="D2140">
            <v>41986</v>
          </cell>
          <cell r="U2140">
            <v>0</v>
          </cell>
          <cell r="Z2140">
            <v>1</v>
          </cell>
        </row>
        <row r="2141">
          <cell r="D2141">
            <v>41986</v>
          </cell>
          <cell r="U2141">
            <v>0</v>
          </cell>
          <cell r="Z2141">
            <v>1</v>
          </cell>
        </row>
        <row r="2142">
          <cell r="D2142">
            <v>41986</v>
          </cell>
          <cell r="U2142">
            <v>3</v>
          </cell>
          <cell r="Z2142">
            <v>0</v>
          </cell>
        </row>
        <row r="2143">
          <cell r="D2143">
            <v>41986</v>
          </cell>
          <cell r="U2143">
            <v>0</v>
          </cell>
          <cell r="Z2143">
            <v>1</v>
          </cell>
        </row>
        <row r="2144">
          <cell r="D2144">
            <v>41986</v>
          </cell>
          <cell r="U2144">
            <v>0</v>
          </cell>
          <cell r="Z2144">
            <v>1</v>
          </cell>
        </row>
        <row r="2145">
          <cell r="D2145">
            <v>41986</v>
          </cell>
          <cell r="U2145">
            <v>0</v>
          </cell>
          <cell r="Z2145">
            <v>1</v>
          </cell>
        </row>
        <row r="2146">
          <cell r="D2146">
            <v>41986</v>
          </cell>
          <cell r="U2146">
            <v>3</v>
          </cell>
          <cell r="Z2146">
            <v>0</v>
          </cell>
        </row>
        <row r="2147">
          <cell r="D2147">
            <v>41986</v>
          </cell>
          <cell r="U2147">
            <v>0</v>
          </cell>
          <cell r="Z2147">
            <v>1</v>
          </cell>
        </row>
        <row r="2148">
          <cell r="D2148">
            <v>41986</v>
          </cell>
          <cell r="U2148">
            <v>0</v>
          </cell>
          <cell r="Z2148">
            <v>1</v>
          </cell>
        </row>
        <row r="2149">
          <cell r="D2149">
            <v>41986</v>
          </cell>
          <cell r="U2149">
            <v>1</v>
          </cell>
          <cell r="Z2149">
            <v>0</v>
          </cell>
        </row>
        <row r="2150">
          <cell r="D2150">
            <v>41986</v>
          </cell>
          <cell r="U2150">
            <v>2</v>
          </cell>
          <cell r="Z2150">
            <v>0</v>
          </cell>
        </row>
        <row r="2151">
          <cell r="D2151">
            <v>41986</v>
          </cell>
          <cell r="U2151">
            <v>2</v>
          </cell>
          <cell r="Z2151">
            <v>0</v>
          </cell>
        </row>
        <row r="2152">
          <cell r="D2152">
            <v>41986</v>
          </cell>
          <cell r="U2152">
            <v>0</v>
          </cell>
          <cell r="Z2152">
            <v>1</v>
          </cell>
        </row>
        <row r="2153">
          <cell r="D2153">
            <v>41986</v>
          </cell>
          <cell r="U2153">
            <v>1</v>
          </cell>
          <cell r="Z2153">
            <v>0</v>
          </cell>
        </row>
        <row r="2154">
          <cell r="D2154">
            <v>41986</v>
          </cell>
          <cell r="U2154">
            <v>1</v>
          </cell>
          <cell r="Z2154">
            <v>0</v>
          </cell>
        </row>
        <row r="2155">
          <cell r="D2155">
            <v>41986</v>
          </cell>
          <cell r="U2155">
            <v>3</v>
          </cell>
          <cell r="Z2155">
            <v>0</v>
          </cell>
        </row>
        <row r="2156">
          <cell r="D2156">
            <v>41986</v>
          </cell>
          <cell r="U2156">
            <v>3</v>
          </cell>
          <cell r="Z2156">
            <v>0</v>
          </cell>
        </row>
        <row r="2157">
          <cell r="D2157">
            <v>41986</v>
          </cell>
          <cell r="U2157">
            <v>0</v>
          </cell>
          <cell r="Z2157">
            <v>1</v>
          </cell>
        </row>
        <row r="2158">
          <cell r="D2158">
            <v>41986</v>
          </cell>
          <cell r="U2158">
            <v>0</v>
          </cell>
          <cell r="Z2158">
            <v>1</v>
          </cell>
        </row>
        <row r="2159">
          <cell r="D2159">
            <v>41986</v>
          </cell>
          <cell r="U2159">
            <v>0</v>
          </cell>
          <cell r="Z2159">
            <v>1</v>
          </cell>
        </row>
        <row r="2160">
          <cell r="D2160">
            <v>41986</v>
          </cell>
          <cell r="U2160">
            <v>2</v>
          </cell>
          <cell r="Z2160">
            <v>0</v>
          </cell>
        </row>
        <row r="2161">
          <cell r="D2161">
            <v>41986</v>
          </cell>
          <cell r="U2161">
            <v>2</v>
          </cell>
          <cell r="Z2161">
            <v>0</v>
          </cell>
        </row>
        <row r="2162">
          <cell r="D2162">
            <v>41986</v>
          </cell>
          <cell r="U2162">
            <v>0</v>
          </cell>
          <cell r="Z2162">
            <v>1</v>
          </cell>
        </row>
        <row r="2163">
          <cell r="D2163">
            <v>41986</v>
          </cell>
          <cell r="U2163">
            <v>0</v>
          </cell>
          <cell r="Z2163">
            <v>1</v>
          </cell>
        </row>
        <row r="2164">
          <cell r="D2164">
            <v>41986</v>
          </cell>
          <cell r="U2164">
            <v>0</v>
          </cell>
          <cell r="Z2164">
            <v>1</v>
          </cell>
        </row>
        <row r="2165">
          <cell r="D2165">
            <v>41986</v>
          </cell>
          <cell r="U2165">
            <v>0</v>
          </cell>
          <cell r="Z2165">
            <v>1</v>
          </cell>
        </row>
        <row r="2166">
          <cell r="D2166">
            <v>41986</v>
          </cell>
          <cell r="U2166">
            <v>0</v>
          </cell>
          <cell r="Z2166">
            <v>1</v>
          </cell>
        </row>
        <row r="2167">
          <cell r="D2167">
            <v>41986</v>
          </cell>
          <cell r="U2167">
            <v>3</v>
          </cell>
          <cell r="Z2167">
            <v>0</v>
          </cell>
        </row>
        <row r="2168">
          <cell r="D2168">
            <v>41986</v>
          </cell>
          <cell r="U2168">
            <v>0</v>
          </cell>
          <cell r="Z2168">
            <v>1</v>
          </cell>
        </row>
        <row r="2169">
          <cell r="D2169">
            <v>41986</v>
          </cell>
          <cell r="U2169">
            <v>2</v>
          </cell>
          <cell r="Z2169">
            <v>0</v>
          </cell>
        </row>
        <row r="2170">
          <cell r="D2170">
            <v>41986</v>
          </cell>
          <cell r="U2170">
            <v>0</v>
          </cell>
          <cell r="Z2170">
            <v>1</v>
          </cell>
        </row>
        <row r="2171">
          <cell r="D2171">
            <v>41986</v>
          </cell>
          <cell r="U2171">
            <v>0</v>
          </cell>
          <cell r="Z2171">
            <v>1</v>
          </cell>
        </row>
        <row r="2172">
          <cell r="D2172">
            <v>41986</v>
          </cell>
          <cell r="U2172">
            <v>0</v>
          </cell>
          <cell r="Z2172">
            <v>1</v>
          </cell>
        </row>
        <row r="2173">
          <cell r="D2173">
            <v>41986</v>
          </cell>
          <cell r="U2173">
            <v>0</v>
          </cell>
          <cell r="Z2173">
            <v>1</v>
          </cell>
        </row>
        <row r="2174">
          <cell r="D2174">
            <v>41986</v>
          </cell>
          <cell r="U2174">
            <v>3</v>
          </cell>
          <cell r="Z2174">
            <v>0</v>
          </cell>
        </row>
        <row r="2175">
          <cell r="D2175">
            <v>41986</v>
          </cell>
          <cell r="U2175">
            <v>3</v>
          </cell>
          <cell r="Z2175">
            <v>0</v>
          </cell>
        </row>
        <row r="2176">
          <cell r="D2176">
            <v>41986</v>
          </cell>
          <cell r="U2176">
            <v>2</v>
          </cell>
          <cell r="Z2176">
            <v>0</v>
          </cell>
        </row>
        <row r="2177">
          <cell r="D2177">
            <v>41986</v>
          </cell>
          <cell r="U2177">
            <v>0</v>
          </cell>
          <cell r="Z2177">
            <v>1</v>
          </cell>
        </row>
        <row r="2178">
          <cell r="D2178">
            <v>41986</v>
          </cell>
          <cell r="U2178">
            <v>0</v>
          </cell>
          <cell r="Z2178">
            <v>1</v>
          </cell>
        </row>
        <row r="2179">
          <cell r="D2179">
            <v>41986</v>
          </cell>
          <cell r="U2179">
            <v>3</v>
          </cell>
          <cell r="Z2179">
            <v>0</v>
          </cell>
        </row>
        <row r="2180">
          <cell r="D2180">
            <v>41986</v>
          </cell>
          <cell r="U2180">
            <v>2</v>
          </cell>
          <cell r="Z2180">
            <v>0</v>
          </cell>
        </row>
        <row r="2181">
          <cell r="D2181">
            <v>41986</v>
          </cell>
          <cell r="U2181">
            <v>0</v>
          </cell>
          <cell r="Z2181">
            <v>1</v>
          </cell>
        </row>
        <row r="2182">
          <cell r="D2182">
            <v>41986</v>
          </cell>
          <cell r="U2182">
            <v>0</v>
          </cell>
          <cell r="Z2182">
            <v>1</v>
          </cell>
        </row>
        <row r="2183">
          <cell r="D2183">
            <v>41986</v>
          </cell>
          <cell r="U2183">
            <v>0</v>
          </cell>
          <cell r="Z2183">
            <v>1</v>
          </cell>
        </row>
        <row r="2184">
          <cell r="D2184">
            <v>41986</v>
          </cell>
          <cell r="U2184">
            <v>0</v>
          </cell>
          <cell r="Z2184">
            <v>1</v>
          </cell>
        </row>
        <row r="2185">
          <cell r="D2185">
            <v>41986</v>
          </cell>
          <cell r="U2185">
            <v>0</v>
          </cell>
          <cell r="Z2185">
            <v>1</v>
          </cell>
        </row>
        <row r="2186">
          <cell r="D2186">
            <v>41986</v>
          </cell>
          <cell r="U2186">
            <v>0</v>
          </cell>
          <cell r="Z2186">
            <v>1</v>
          </cell>
        </row>
        <row r="2187">
          <cell r="D2187">
            <v>41986</v>
          </cell>
          <cell r="U2187">
            <v>0</v>
          </cell>
          <cell r="Z2187">
            <v>1</v>
          </cell>
        </row>
        <row r="2188">
          <cell r="D2188">
            <v>41986</v>
          </cell>
          <cell r="U2188">
            <v>0</v>
          </cell>
          <cell r="Z2188">
            <v>1</v>
          </cell>
        </row>
        <row r="2189">
          <cell r="D2189">
            <v>41986</v>
          </cell>
          <cell r="U2189">
            <v>1</v>
          </cell>
          <cell r="Z2189">
            <v>0</v>
          </cell>
        </row>
        <row r="2190">
          <cell r="D2190">
            <v>41986</v>
          </cell>
          <cell r="U2190">
            <v>0</v>
          </cell>
          <cell r="Z2190">
            <v>1</v>
          </cell>
        </row>
        <row r="2191">
          <cell r="D2191">
            <v>41986</v>
          </cell>
          <cell r="U2191">
            <v>1</v>
          </cell>
          <cell r="Z2191">
            <v>0</v>
          </cell>
        </row>
        <row r="2192">
          <cell r="D2192">
            <v>41986</v>
          </cell>
          <cell r="U2192">
            <v>0</v>
          </cell>
          <cell r="Z2192">
            <v>1</v>
          </cell>
        </row>
        <row r="2193">
          <cell r="D2193">
            <v>41986</v>
          </cell>
          <cell r="U2193">
            <v>1</v>
          </cell>
          <cell r="Z2193">
            <v>0</v>
          </cell>
        </row>
        <row r="2194">
          <cell r="D2194">
            <v>41986</v>
          </cell>
          <cell r="U2194">
            <v>1</v>
          </cell>
          <cell r="Z2194">
            <v>0</v>
          </cell>
        </row>
        <row r="2195">
          <cell r="D2195">
            <v>41986</v>
          </cell>
          <cell r="U2195">
            <v>0</v>
          </cell>
          <cell r="Z2195">
            <v>1</v>
          </cell>
        </row>
        <row r="2196">
          <cell r="D2196">
            <v>41986</v>
          </cell>
          <cell r="U2196">
            <v>3</v>
          </cell>
          <cell r="Z2196">
            <v>0</v>
          </cell>
        </row>
        <row r="2197">
          <cell r="D2197">
            <v>41986</v>
          </cell>
          <cell r="U2197">
            <v>0</v>
          </cell>
          <cell r="Z2197">
            <v>1</v>
          </cell>
        </row>
        <row r="2198">
          <cell r="D2198">
            <v>41986</v>
          </cell>
          <cell r="U2198">
            <v>0</v>
          </cell>
          <cell r="Z2198">
            <v>1</v>
          </cell>
        </row>
        <row r="2199">
          <cell r="D2199">
            <v>41986</v>
          </cell>
          <cell r="U2199">
            <v>3</v>
          </cell>
          <cell r="Z2199">
            <v>0</v>
          </cell>
        </row>
        <row r="2200">
          <cell r="D2200">
            <v>41986</v>
          </cell>
          <cell r="U2200">
            <v>0</v>
          </cell>
          <cell r="Z2200">
            <v>1</v>
          </cell>
        </row>
        <row r="2201">
          <cell r="D2201">
            <v>41986</v>
          </cell>
          <cell r="U2201">
            <v>0</v>
          </cell>
          <cell r="Z2201">
            <v>1</v>
          </cell>
        </row>
        <row r="2202">
          <cell r="D2202">
            <v>41986</v>
          </cell>
          <cell r="U2202">
            <v>3</v>
          </cell>
          <cell r="Z2202">
            <v>0</v>
          </cell>
        </row>
        <row r="2203">
          <cell r="D2203">
            <v>41986</v>
          </cell>
          <cell r="U2203">
            <v>0</v>
          </cell>
          <cell r="Z2203">
            <v>1</v>
          </cell>
        </row>
        <row r="2204">
          <cell r="D2204">
            <v>41986</v>
          </cell>
          <cell r="U2204">
            <v>2</v>
          </cell>
          <cell r="Z2204">
            <v>0</v>
          </cell>
        </row>
        <row r="2205">
          <cell r="D2205">
            <v>41986</v>
          </cell>
          <cell r="U2205">
            <v>2</v>
          </cell>
          <cell r="Z2205">
            <v>0</v>
          </cell>
        </row>
        <row r="2206">
          <cell r="D2206">
            <v>41986</v>
          </cell>
          <cell r="U2206">
            <v>0</v>
          </cell>
          <cell r="Z2206">
            <v>1</v>
          </cell>
        </row>
        <row r="2207">
          <cell r="D2207">
            <v>41986</v>
          </cell>
          <cell r="U2207">
            <v>3</v>
          </cell>
          <cell r="Z2207">
            <v>0</v>
          </cell>
        </row>
        <row r="2208">
          <cell r="D2208">
            <v>41986</v>
          </cell>
          <cell r="U2208">
            <v>0</v>
          </cell>
          <cell r="Z2208">
            <v>1</v>
          </cell>
        </row>
        <row r="2209">
          <cell r="D2209">
            <v>41986</v>
          </cell>
          <cell r="U2209">
            <v>0</v>
          </cell>
          <cell r="Z2209">
            <v>1</v>
          </cell>
        </row>
        <row r="2210">
          <cell r="D2210">
            <v>41986</v>
          </cell>
          <cell r="U2210">
            <v>0</v>
          </cell>
          <cell r="Z2210">
            <v>1</v>
          </cell>
        </row>
        <row r="2211">
          <cell r="D2211">
            <v>41986</v>
          </cell>
          <cell r="U2211">
            <v>0</v>
          </cell>
          <cell r="Z2211">
            <v>1</v>
          </cell>
        </row>
        <row r="2212">
          <cell r="D2212">
            <v>41986</v>
          </cell>
          <cell r="U2212">
            <v>0</v>
          </cell>
          <cell r="Z2212">
            <v>1</v>
          </cell>
        </row>
        <row r="2213">
          <cell r="D2213">
            <v>41986</v>
          </cell>
          <cell r="U2213">
            <v>3</v>
          </cell>
          <cell r="Z2213">
            <v>0</v>
          </cell>
        </row>
        <row r="2214">
          <cell r="D2214">
            <v>41986</v>
          </cell>
          <cell r="U2214">
            <v>0</v>
          </cell>
          <cell r="Z2214">
            <v>1</v>
          </cell>
        </row>
        <row r="2215">
          <cell r="D2215">
            <v>41986</v>
          </cell>
          <cell r="U2215">
            <v>0</v>
          </cell>
          <cell r="Z2215">
            <v>1</v>
          </cell>
        </row>
        <row r="2216">
          <cell r="D2216">
            <v>41986</v>
          </cell>
          <cell r="U2216">
            <v>0</v>
          </cell>
          <cell r="Z2216">
            <v>1</v>
          </cell>
        </row>
        <row r="2217">
          <cell r="D2217">
            <v>41986</v>
          </cell>
          <cell r="U2217">
            <v>2</v>
          </cell>
          <cell r="Z2217">
            <v>0</v>
          </cell>
        </row>
        <row r="2218">
          <cell r="D2218">
            <v>41986</v>
          </cell>
          <cell r="U2218">
            <v>0</v>
          </cell>
          <cell r="Z2218">
            <v>1</v>
          </cell>
        </row>
        <row r="2219">
          <cell r="D2219">
            <v>41986</v>
          </cell>
          <cell r="U2219">
            <v>0</v>
          </cell>
          <cell r="Z2219">
            <v>1</v>
          </cell>
        </row>
        <row r="2220">
          <cell r="D2220">
            <v>41986</v>
          </cell>
          <cell r="U2220">
            <v>3</v>
          </cell>
          <cell r="Z2220">
            <v>0</v>
          </cell>
        </row>
        <row r="2221">
          <cell r="D2221">
            <v>41986</v>
          </cell>
          <cell r="U2221">
            <v>2</v>
          </cell>
          <cell r="Z2221">
            <v>0</v>
          </cell>
        </row>
        <row r="2222">
          <cell r="D2222">
            <v>41986</v>
          </cell>
          <cell r="U2222">
            <v>2</v>
          </cell>
          <cell r="Z2222">
            <v>0</v>
          </cell>
        </row>
        <row r="2223">
          <cell r="D2223">
            <v>41986</v>
          </cell>
          <cell r="U2223">
            <v>0</v>
          </cell>
          <cell r="Z2223">
            <v>1</v>
          </cell>
        </row>
        <row r="2224">
          <cell r="D2224">
            <v>41986</v>
          </cell>
          <cell r="U2224">
            <v>0</v>
          </cell>
          <cell r="Z2224">
            <v>1</v>
          </cell>
        </row>
        <row r="2225">
          <cell r="D2225">
            <v>41986</v>
          </cell>
          <cell r="U2225">
            <v>0</v>
          </cell>
          <cell r="Z2225">
            <v>1</v>
          </cell>
        </row>
        <row r="2226">
          <cell r="D2226">
            <v>41986</v>
          </cell>
          <cell r="U2226">
            <v>0</v>
          </cell>
          <cell r="Z2226">
            <v>1</v>
          </cell>
        </row>
        <row r="2227">
          <cell r="D2227">
            <v>41986</v>
          </cell>
          <cell r="U2227">
            <v>1</v>
          </cell>
          <cell r="Z2227">
            <v>0</v>
          </cell>
        </row>
        <row r="2228">
          <cell r="D2228">
            <v>41986</v>
          </cell>
          <cell r="U2228">
            <v>0</v>
          </cell>
          <cell r="Z2228">
            <v>1</v>
          </cell>
        </row>
        <row r="2229">
          <cell r="D2229">
            <v>41986</v>
          </cell>
          <cell r="U2229">
            <v>0</v>
          </cell>
          <cell r="Z2229">
            <v>1</v>
          </cell>
        </row>
        <row r="2230">
          <cell r="D2230">
            <v>41986</v>
          </cell>
          <cell r="U2230">
            <v>0</v>
          </cell>
          <cell r="Z2230">
            <v>1</v>
          </cell>
        </row>
        <row r="2231">
          <cell r="D2231">
            <v>41986</v>
          </cell>
          <cell r="U2231">
            <v>3</v>
          </cell>
          <cell r="Z2231">
            <v>0</v>
          </cell>
        </row>
        <row r="2232">
          <cell r="D2232">
            <v>41986</v>
          </cell>
          <cell r="U2232">
            <v>2</v>
          </cell>
          <cell r="Z2232">
            <v>0</v>
          </cell>
        </row>
        <row r="2233">
          <cell r="D2233">
            <v>41986</v>
          </cell>
          <cell r="U2233">
            <v>1</v>
          </cell>
          <cell r="Z2233">
            <v>0</v>
          </cell>
        </row>
        <row r="2234">
          <cell r="D2234">
            <v>41986</v>
          </cell>
          <cell r="U2234">
            <v>2</v>
          </cell>
          <cell r="Z2234">
            <v>0</v>
          </cell>
        </row>
        <row r="2235">
          <cell r="D2235">
            <v>41986</v>
          </cell>
          <cell r="U2235">
            <v>2</v>
          </cell>
          <cell r="Z2235">
            <v>0</v>
          </cell>
        </row>
        <row r="2236">
          <cell r="D2236">
            <v>41986</v>
          </cell>
          <cell r="U2236">
            <v>0</v>
          </cell>
          <cell r="Z2236">
            <v>1</v>
          </cell>
        </row>
        <row r="2237">
          <cell r="D2237">
            <v>41986</v>
          </cell>
          <cell r="U2237">
            <v>0</v>
          </cell>
          <cell r="Z2237">
            <v>1</v>
          </cell>
        </row>
        <row r="2238">
          <cell r="D2238">
            <v>41986</v>
          </cell>
          <cell r="U2238">
            <v>2</v>
          </cell>
          <cell r="Z2238">
            <v>0</v>
          </cell>
        </row>
        <row r="2239">
          <cell r="D2239">
            <v>41986</v>
          </cell>
          <cell r="U2239">
            <v>3</v>
          </cell>
          <cell r="Z2239">
            <v>0</v>
          </cell>
        </row>
        <row r="2240">
          <cell r="D2240">
            <v>41986</v>
          </cell>
          <cell r="U2240">
            <v>0</v>
          </cell>
          <cell r="Z2240">
            <v>1</v>
          </cell>
        </row>
        <row r="2241">
          <cell r="D2241">
            <v>41986</v>
          </cell>
          <cell r="U2241">
            <v>1</v>
          </cell>
          <cell r="Z2241">
            <v>0</v>
          </cell>
        </row>
        <row r="2242">
          <cell r="D2242">
            <v>41986</v>
          </cell>
          <cell r="U2242">
            <v>3</v>
          </cell>
          <cell r="Z2242">
            <v>0</v>
          </cell>
        </row>
        <row r="2243">
          <cell r="D2243">
            <v>41986</v>
          </cell>
          <cell r="U2243">
            <v>1</v>
          </cell>
          <cell r="Z2243">
            <v>0</v>
          </cell>
        </row>
        <row r="2244">
          <cell r="D2244">
            <v>41986</v>
          </cell>
          <cell r="U2244">
            <v>1</v>
          </cell>
          <cell r="Z2244">
            <v>0</v>
          </cell>
        </row>
        <row r="2245">
          <cell r="D2245">
            <v>41986</v>
          </cell>
          <cell r="U2245">
            <v>2</v>
          </cell>
          <cell r="Z2245">
            <v>0</v>
          </cell>
        </row>
        <row r="2246">
          <cell r="D2246">
            <v>41986</v>
          </cell>
          <cell r="U2246">
            <v>2</v>
          </cell>
          <cell r="Z2246">
            <v>0</v>
          </cell>
        </row>
        <row r="2247">
          <cell r="D2247">
            <v>41986</v>
          </cell>
          <cell r="U2247">
            <v>1</v>
          </cell>
          <cell r="Z2247">
            <v>0</v>
          </cell>
        </row>
        <row r="2248">
          <cell r="D2248">
            <v>41986</v>
          </cell>
          <cell r="U2248">
            <v>0</v>
          </cell>
          <cell r="Z2248">
            <v>1</v>
          </cell>
        </row>
        <row r="2249">
          <cell r="D2249">
            <v>41986</v>
          </cell>
          <cell r="U2249">
            <v>0</v>
          </cell>
          <cell r="Z2249">
            <v>1</v>
          </cell>
        </row>
        <row r="2250">
          <cell r="D2250">
            <v>41986</v>
          </cell>
          <cell r="U2250">
            <v>2</v>
          </cell>
          <cell r="Z2250">
            <v>0</v>
          </cell>
        </row>
        <row r="2251">
          <cell r="D2251">
            <v>41986</v>
          </cell>
          <cell r="U2251">
            <v>1</v>
          </cell>
          <cell r="Z2251">
            <v>0</v>
          </cell>
        </row>
        <row r="2252">
          <cell r="D2252">
            <v>41987</v>
          </cell>
          <cell r="U2252">
            <v>0</v>
          </cell>
          <cell r="Z2252">
            <v>1</v>
          </cell>
        </row>
        <row r="2253">
          <cell r="D2253">
            <v>41987</v>
          </cell>
          <cell r="U2253">
            <v>3</v>
          </cell>
          <cell r="Z2253">
            <v>0</v>
          </cell>
        </row>
        <row r="2254">
          <cell r="D2254">
            <v>41987</v>
          </cell>
          <cell r="U2254">
            <v>0</v>
          </cell>
          <cell r="Z2254">
            <v>1</v>
          </cell>
        </row>
        <row r="2255">
          <cell r="D2255">
            <v>41987</v>
          </cell>
          <cell r="U2255">
            <v>3</v>
          </cell>
          <cell r="Z2255">
            <v>0</v>
          </cell>
        </row>
        <row r="2256">
          <cell r="D2256">
            <v>41987</v>
          </cell>
          <cell r="U2256">
            <v>1</v>
          </cell>
          <cell r="Z2256">
            <v>0</v>
          </cell>
        </row>
        <row r="2257">
          <cell r="D2257">
            <v>41987</v>
          </cell>
          <cell r="U2257">
            <v>0</v>
          </cell>
          <cell r="Z2257">
            <v>1</v>
          </cell>
        </row>
        <row r="2258">
          <cell r="D2258">
            <v>41987</v>
          </cell>
          <cell r="U2258">
            <v>1</v>
          </cell>
          <cell r="Z2258">
            <v>0</v>
          </cell>
        </row>
        <row r="2259">
          <cell r="D2259">
            <v>41987</v>
          </cell>
          <cell r="U2259">
            <v>0</v>
          </cell>
          <cell r="Z2259">
            <v>1</v>
          </cell>
        </row>
        <row r="2260">
          <cell r="D2260">
            <v>41987</v>
          </cell>
          <cell r="U2260">
            <v>0</v>
          </cell>
          <cell r="Z2260">
            <v>1</v>
          </cell>
        </row>
        <row r="2261">
          <cell r="D2261">
            <v>41987</v>
          </cell>
          <cell r="U2261">
            <v>0</v>
          </cell>
          <cell r="Z2261">
            <v>1</v>
          </cell>
        </row>
        <row r="2262">
          <cell r="D2262">
            <v>41987</v>
          </cell>
          <cell r="U2262">
            <v>2</v>
          </cell>
          <cell r="Z2262">
            <v>0</v>
          </cell>
        </row>
        <row r="2263">
          <cell r="D2263">
            <v>41987</v>
          </cell>
          <cell r="U2263">
            <v>0</v>
          </cell>
          <cell r="Z2263">
            <v>1</v>
          </cell>
        </row>
        <row r="2264">
          <cell r="D2264">
            <v>41987</v>
          </cell>
          <cell r="U2264">
            <v>2</v>
          </cell>
          <cell r="Z2264">
            <v>0</v>
          </cell>
        </row>
        <row r="2265">
          <cell r="D2265">
            <v>41987</v>
          </cell>
          <cell r="U2265">
            <v>0</v>
          </cell>
          <cell r="Z2265">
            <v>1</v>
          </cell>
        </row>
        <row r="2266">
          <cell r="D2266">
            <v>41987</v>
          </cell>
          <cell r="U2266">
            <v>0</v>
          </cell>
          <cell r="Z2266">
            <v>1</v>
          </cell>
        </row>
        <row r="2267">
          <cell r="D2267">
            <v>41987</v>
          </cell>
          <cell r="U2267">
            <v>0</v>
          </cell>
          <cell r="Z2267">
            <v>1</v>
          </cell>
        </row>
        <row r="2268">
          <cell r="D2268">
            <v>41987</v>
          </cell>
          <cell r="U2268">
            <v>0</v>
          </cell>
          <cell r="Z2268">
            <v>1</v>
          </cell>
        </row>
        <row r="2269">
          <cell r="D2269">
            <v>41987</v>
          </cell>
          <cell r="U2269">
            <v>2</v>
          </cell>
          <cell r="Z2269">
            <v>0</v>
          </cell>
        </row>
        <row r="2270">
          <cell r="D2270">
            <v>41987</v>
          </cell>
          <cell r="U2270">
            <v>0</v>
          </cell>
          <cell r="Z2270">
            <v>1</v>
          </cell>
        </row>
        <row r="2271">
          <cell r="D2271">
            <v>41987</v>
          </cell>
          <cell r="U2271">
            <v>0</v>
          </cell>
          <cell r="Z2271">
            <v>1</v>
          </cell>
        </row>
        <row r="2272">
          <cell r="D2272">
            <v>41987</v>
          </cell>
          <cell r="U2272">
            <v>0</v>
          </cell>
          <cell r="Z2272">
            <v>1</v>
          </cell>
        </row>
        <row r="2273">
          <cell r="D2273">
            <v>41987</v>
          </cell>
          <cell r="U2273">
            <v>0</v>
          </cell>
          <cell r="Z2273">
            <v>1</v>
          </cell>
        </row>
        <row r="2274">
          <cell r="D2274">
            <v>41987</v>
          </cell>
          <cell r="U2274">
            <v>0</v>
          </cell>
          <cell r="Z2274">
            <v>1</v>
          </cell>
        </row>
        <row r="2275">
          <cell r="D2275">
            <v>41987</v>
          </cell>
          <cell r="U2275">
            <v>0</v>
          </cell>
          <cell r="Z2275">
            <v>1</v>
          </cell>
        </row>
        <row r="2276">
          <cell r="D2276">
            <v>41987</v>
          </cell>
          <cell r="U2276">
            <v>0</v>
          </cell>
          <cell r="Z2276">
            <v>1</v>
          </cell>
        </row>
        <row r="2277">
          <cell r="D2277">
            <v>41987</v>
          </cell>
          <cell r="U2277">
            <v>1</v>
          </cell>
          <cell r="Z2277">
            <v>0</v>
          </cell>
        </row>
        <row r="2278">
          <cell r="D2278">
            <v>41987</v>
          </cell>
          <cell r="U2278">
            <v>0</v>
          </cell>
          <cell r="Z2278">
            <v>1</v>
          </cell>
        </row>
        <row r="2279">
          <cell r="D2279">
            <v>41987</v>
          </cell>
          <cell r="U2279">
            <v>0</v>
          </cell>
          <cell r="Z2279">
            <v>1</v>
          </cell>
        </row>
        <row r="2280">
          <cell r="D2280">
            <v>41987</v>
          </cell>
          <cell r="U2280">
            <v>0</v>
          </cell>
          <cell r="Z2280">
            <v>1</v>
          </cell>
        </row>
        <row r="2281">
          <cell r="D2281">
            <v>41987</v>
          </cell>
          <cell r="U2281">
            <v>2</v>
          </cell>
          <cell r="Z2281">
            <v>0</v>
          </cell>
        </row>
        <row r="2282">
          <cell r="D2282">
            <v>41987</v>
          </cell>
          <cell r="U2282">
            <v>0</v>
          </cell>
          <cell r="Z2282">
            <v>1</v>
          </cell>
        </row>
        <row r="2283">
          <cell r="D2283">
            <v>41987</v>
          </cell>
          <cell r="U2283">
            <v>1</v>
          </cell>
          <cell r="Z2283">
            <v>0</v>
          </cell>
        </row>
        <row r="2284">
          <cell r="D2284">
            <v>41987</v>
          </cell>
          <cell r="U2284">
            <v>1</v>
          </cell>
          <cell r="Z2284">
            <v>0</v>
          </cell>
        </row>
        <row r="2285">
          <cell r="D2285">
            <v>41987</v>
          </cell>
          <cell r="U2285">
            <v>0</v>
          </cell>
          <cell r="Z2285">
            <v>1</v>
          </cell>
        </row>
        <row r="2286">
          <cell r="D2286">
            <v>41987</v>
          </cell>
          <cell r="U2286">
            <v>0</v>
          </cell>
          <cell r="Z2286">
            <v>1</v>
          </cell>
        </row>
        <row r="2287">
          <cell r="D2287">
            <v>41987</v>
          </cell>
          <cell r="U2287">
            <v>0</v>
          </cell>
          <cell r="Z2287">
            <v>1</v>
          </cell>
        </row>
        <row r="2288">
          <cell r="D2288">
            <v>41987</v>
          </cell>
          <cell r="U2288">
            <v>0</v>
          </cell>
          <cell r="Z2288">
            <v>1</v>
          </cell>
        </row>
        <row r="2289">
          <cell r="D2289">
            <v>41987</v>
          </cell>
          <cell r="U2289">
            <v>0</v>
          </cell>
          <cell r="Z2289">
            <v>1</v>
          </cell>
        </row>
        <row r="2290">
          <cell r="D2290">
            <v>41987</v>
          </cell>
          <cell r="U2290">
            <v>3</v>
          </cell>
          <cell r="Z2290">
            <v>0</v>
          </cell>
        </row>
        <row r="2291">
          <cell r="D2291">
            <v>41987</v>
          </cell>
          <cell r="U2291">
            <v>1</v>
          </cell>
          <cell r="Z2291">
            <v>0</v>
          </cell>
        </row>
        <row r="2292">
          <cell r="D2292">
            <v>41987</v>
          </cell>
          <cell r="U2292">
            <v>0</v>
          </cell>
          <cell r="Z2292">
            <v>1</v>
          </cell>
        </row>
        <row r="2293">
          <cell r="D2293">
            <v>41987</v>
          </cell>
          <cell r="U2293">
            <v>3</v>
          </cell>
          <cell r="Z2293">
            <v>0</v>
          </cell>
        </row>
        <row r="2294">
          <cell r="D2294">
            <v>41987</v>
          </cell>
          <cell r="U2294">
            <v>0</v>
          </cell>
          <cell r="Z2294">
            <v>1</v>
          </cell>
        </row>
        <row r="2295">
          <cell r="D2295">
            <v>41987</v>
          </cell>
          <cell r="U2295">
            <v>3</v>
          </cell>
          <cell r="Z2295">
            <v>0</v>
          </cell>
        </row>
        <row r="2296">
          <cell r="D2296">
            <v>41987</v>
          </cell>
          <cell r="U2296">
            <v>0</v>
          </cell>
          <cell r="Z2296">
            <v>1</v>
          </cell>
        </row>
        <row r="2297">
          <cell r="D2297">
            <v>41987</v>
          </cell>
          <cell r="U2297">
            <v>3</v>
          </cell>
          <cell r="Z2297">
            <v>0</v>
          </cell>
        </row>
        <row r="2298">
          <cell r="D2298">
            <v>41987</v>
          </cell>
          <cell r="U2298">
            <v>0</v>
          </cell>
          <cell r="Z2298">
            <v>1</v>
          </cell>
        </row>
        <row r="2299">
          <cell r="D2299">
            <v>41987</v>
          </cell>
          <cell r="U2299">
            <v>3</v>
          </cell>
          <cell r="Z2299">
            <v>0</v>
          </cell>
        </row>
        <row r="2300">
          <cell r="D2300">
            <v>41987</v>
          </cell>
          <cell r="U2300">
            <v>3</v>
          </cell>
          <cell r="Z2300">
            <v>0</v>
          </cell>
        </row>
        <row r="2301">
          <cell r="D2301">
            <v>41987</v>
          </cell>
          <cell r="U2301">
            <v>0</v>
          </cell>
          <cell r="Z2301">
            <v>1</v>
          </cell>
        </row>
        <row r="2302">
          <cell r="D2302">
            <v>41987</v>
          </cell>
          <cell r="U2302">
            <v>0</v>
          </cell>
          <cell r="Z2302">
            <v>1</v>
          </cell>
        </row>
        <row r="2303">
          <cell r="D2303">
            <v>41987</v>
          </cell>
          <cell r="U2303">
            <v>0</v>
          </cell>
          <cell r="Z2303">
            <v>1</v>
          </cell>
        </row>
        <row r="2304">
          <cell r="D2304">
            <v>41987</v>
          </cell>
          <cell r="U2304">
            <v>3</v>
          </cell>
          <cell r="Z2304">
            <v>0</v>
          </cell>
        </row>
        <row r="2305">
          <cell r="D2305">
            <v>41987</v>
          </cell>
          <cell r="U2305">
            <v>2</v>
          </cell>
          <cell r="Z2305">
            <v>0</v>
          </cell>
        </row>
        <row r="2306">
          <cell r="D2306">
            <v>41987</v>
          </cell>
          <cell r="U2306">
            <v>1</v>
          </cell>
          <cell r="Z2306">
            <v>0</v>
          </cell>
        </row>
        <row r="2307">
          <cell r="D2307">
            <v>41987</v>
          </cell>
          <cell r="U2307">
            <v>0</v>
          </cell>
          <cell r="Z2307">
            <v>1</v>
          </cell>
        </row>
        <row r="2308">
          <cell r="D2308">
            <v>41987</v>
          </cell>
          <cell r="U2308">
            <v>0</v>
          </cell>
          <cell r="Z2308">
            <v>1</v>
          </cell>
        </row>
        <row r="2309">
          <cell r="D2309">
            <v>41987</v>
          </cell>
          <cell r="U2309">
            <v>0</v>
          </cell>
          <cell r="Z2309">
            <v>1</v>
          </cell>
        </row>
        <row r="2310">
          <cell r="D2310">
            <v>41987</v>
          </cell>
          <cell r="U2310">
            <v>0</v>
          </cell>
          <cell r="Z2310">
            <v>1</v>
          </cell>
        </row>
        <row r="2311">
          <cell r="D2311">
            <v>41987</v>
          </cell>
          <cell r="U2311">
            <v>0</v>
          </cell>
          <cell r="Z2311">
            <v>1</v>
          </cell>
        </row>
        <row r="2312">
          <cell r="D2312">
            <v>41987</v>
          </cell>
          <cell r="U2312">
            <v>0</v>
          </cell>
          <cell r="Z2312">
            <v>1</v>
          </cell>
        </row>
        <row r="2313">
          <cell r="D2313">
            <v>41987</v>
          </cell>
          <cell r="U2313">
            <v>0</v>
          </cell>
          <cell r="Z2313">
            <v>1</v>
          </cell>
        </row>
        <row r="2314">
          <cell r="D2314">
            <v>41987</v>
          </cell>
          <cell r="U2314">
            <v>0</v>
          </cell>
          <cell r="Z2314">
            <v>1</v>
          </cell>
        </row>
        <row r="2315">
          <cell r="D2315">
            <v>41987</v>
          </cell>
          <cell r="U2315">
            <v>0</v>
          </cell>
          <cell r="Z2315">
            <v>1</v>
          </cell>
        </row>
        <row r="2316">
          <cell r="D2316">
            <v>41987</v>
          </cell>
          <cell r="U2316">
            <v>0</v>
          </cell>
          <cell r="Z2316">
            <v>1</v>
          </cell>
        </row>
        <row r="2317">
          <cell r="D2317">
            <v>41987</v>
          </cell>
          <cell r="U2317">
            <v>0</v>
          </cell>
          <cell r="Z2317">
            <v>1</v>
          </cell>
        </row>
        <row r="2318">
          <cell r="D2318">
            <v>41987</v>
          </cell>
          <cell r="U2318">
            <v>2</v>
          </cell>
          <cell r="Z2318">
            <v>0</v>
          </cell>
        </row>
        <row r="2319">
          <cell r="D2319">
            <v>41987</v>
          </cell>
          <cell r="U2319">
            <v>0</v>
          </cell>
          <cell r="Z2319">
            <v>1</v>
          </cell>
        </row>
        <row r="2320">
          <cell r="D2320">
            <v>41987</v>
          </cell>
          <cell r="U2320">
            <v>0</v>
          </cell>
          <cell r="Z2320">
            <v>1</v>
          </cell>
        </row>
        <row r="2321">
          <cell r="D2321">
            <v>41987</v>
          </cell>
          <cell r="U2321">
            <v>0</v>
          </cell>
          <cell r="Z2321">
            <v>1</v>
          </cell>
        </row>
        <row r="2322">
          <cell r="D2322">
            <v>41987</v>
          </cell>
          <cell r="U2322">
            <v>0</v>
          </cell>
          <cell r="Z2322">
            <v>1</v>
          </cell>
        </row>
        <row r="2323">
          <cell r="D2323">
            <v>41987</v>
          </cell>
          <cell r="U2323">
            <v>0</v>
          </cell>
          <cell r="Z2323">
            <v>1</v>
          </cell>
        </row>
        <row r="2324">
          <cell r="D2324">
            <v>41987</v>
          </cell>
          <cell r="U2324">
            <v>0</v>
          </cell>
          <cell r="Z2324">
            <v>1</v>
          </cell>
        </row>
        <row r="2325">
          <cell r="D2325">
            <v>41987</v>
          </cell>
          <cell r="U2325">
            <v>0</v>
          </cell>
          <cell r="Z2325">
            <v>1</v>
          </cell>
        </row>
        <row r="2326">
          <cell r="D2326">
            <v>41987</v>
          </cell>
          <cell r="U2326">
            <v>0</v>
          </cell>
          <cell r="Z2326">
            <v>1</v>
          </cell>
        </row>
        <row r="2327">
          <cell r="D2327">
            <v>41987</v>
          </cell>
          <cell r="U2327">
            <v>0</v>
          </cell>
          <cell r="Z2327">
            <v>1</v>
          </cell>
        </row>
        <row r="2328">
          <cell r="D2328">
            <v>41987</v>
          </cell>
          <cell r="U2328">
            <v>0</v>
          </cell>
          <cell r="Z2328">
            <v>1</v>
          </cell>
        </row>
        <row r="2329">
          <cell r="D2329">
            <v>41987</v>
          </cell>
          <cell r="U2329">
            <v>0</v>
          </cell>
          <cell r="Z2329">
            <v>1</v>
          </cell>
        </row>
        <row r="2330">
          <cell r="D2330">
            <v>41987</v>
          </cell>
          <cell r="U2330">
            <v>0</v>
          </cell>
          <cell r="Z2330">
            <v>1</v>
          </cell>
        </row>
        <row r="2331">
          <cell r="D2331">
            <v>41987</v>
          </cell>
          <cell r="U2331">
            <v>3</v>
          </cell>
          <cell r="Z2331">
            <v>0</v>
          </cell>
        </row>
        <row r="2332">
          <cell r="D2332">
            <v>41987</v>
          </cell>
          <cell r="U2332">
            <v>0</v>
          </cell>
          <cell r="Z2332">
            <v>1</v>
          </cell>
        </row>
        <row r="2333">
          <cell r="D2333">
            <v>41987</v>
          </cell>
          <cell r="U2333">
            <v>0</v>
          </cell>
          <cell r="Z2333">
            <v>1</v>
          </cell>
        </row>
        <row r="2334">
          <cell r="D2334">
            <v>41987</v>
          </cell>
          <cell r="U2334">
            <v>0</v>
          </cell>
          <cell r="Z2334">
            <v>1</v>
          </cell>
        </row>
        <row r="2335">
          <cell r="D2335">
            <v>41987</v>
          </cell>
          <cell r="U2335">
            <v>0</v>
          </cell>
          <cell r="Z2335">
            <v>1</v>
          </cell>
        </row>
        <row r="2336">
          <cell r="D2336">
            <v>41987</v>
          </cell>
          <cell r="U2336">
            <v>0</v>
          </cell>
          <cell r="Z2336">
            <v>1</v>
          </cell>
        </row>
        <row r="2337">
          <cell r="D2337">
            <v>41987</v>
          </cell>
          <cell r="U2337">
            <v>0</v>
          </cell>
          <cell r="Z2337">
            <v>1</v>
          </cell>
        </row>
        <row r="2338">
          <cell r="D2338">
            <v>41987</v>
          </cell>
          <cell r="U2338">
            <v>0</v>
          </cell>
          <cell r="Z2338">
            <v>1</v>
          </cell>
        </row>
        <row r="2339">
          <cell r="D2339">
            <v>41987</v>
          </cell>
          <cell r="U2339">
            <v>0</v>
          </cell>
          <cell r="Z2339">
            <v>1</v>
          </cell>
        </row>
        <row r="2340">
          <cell r="D2340">
            <v>41987</v>
          </cell>
          <cell r="U2340">
            <v>2</v>
          </cell>
          <cell r="Z2340">
            <v>0</v>
          </cell>
        </row>
        <row r="2341">
          <cell r="D2341">
            <v>41987</v>
          </cell>
          <cell r="U2341">
            <v>3</v>
          </cell>
          <cell r="Z2341">
            <v>0</v>
          </cell>
        </row>
        <row r="2342">
          <cell r="D2342">
            <v>41987</v>
          </cell>
          <cell r="U2342">
            <v>3</v>
          </cell>
          <cell r="Z2342">
            <v>0</v>
          </cell>
        </row>
        <row r="2343">
          <cell r="D2343">
            <v>41987</v>
          </cell>
          <cell r="U2343">
            <v>0</v>
          </cell>
          <cell r="Z2343">
            <v>1</v>
          </cell>
        </row>
        <row r="2344">
          <cell r="D2344">
            <v>41987</v>
          </cell>
          <cell r="U2344">
            <v>0</v>
          </cell>
          <cell r="Z2344">
            <v>1</v>
          </cell>
        </row>
        <row r="2345">
          <cell r="D2345">
            <v>41987</v>
          </cell>
          <cell r="U2345">
            <v>0</v>
          </cell>
          <cell r="Z2345">
            <v>1</v>
          </cell>
        </row>
        <row r="2346">
          <cell r="D2346">
            <v>41987</v>
          </cell>
          <cell r="U2346">
            <v>0</v>
          </cell>
          <cell r="Z2346">
            <v>1</v>
          </cell>
        </row>
        <row r="2347">
          <cell r="D2347">
            <v>41987</v>
          </cell>
          <cell r="U2347">
            <v>3</v>
          </cell>
          <cell r="Z2347">
            <v>0</v>
          </cell>
        </row>
        <row r="2348">
          <cell r="D2348">
            <v>41987</v>
          </cell>
          <cell r="U2348">
            <v>0</v>
          </cell>
          <cell r="Z2348">
            <v>1</v>
          </cell>
        </row>
        <row r="2349">
          <cell r="D2349">
            <v>41987</v>
          </cell>
          <cell r="U2349">
            <v>0</v>
          </cell>
          <cell r="Z2349">
            <v>1</v>
          </cell>
        </row>
        <row r="2350">
          <cell r="D2350">
            <v>41987</v>
          </cell>
          <cell r="U2350">
            <v>3</v>
          </cell>
          <cell r="Z2350">
            <v>0</v>
          </cell>
        </row>
        <row r="2351">
          <cell r="D2351">
            <v>41987</v>
          </cell>
          <cell r="U2351">
            <v>3</v>
          </cell>
          <cell r="Z2351">
            <v>0</v>
          </cell>
        </row>
        <row r="2352">
          <cell r="D2352">
            <v>41987</v>
          </cell>
          <cell r="U2352">
            <v>3</v>
          </cell>
          <cell r="Z2352">
            <v>0</v>
          </cell>
        </row>
        <row r="2353">
          <cell r="D2353">
            <v>41987</v>
          </cell>
          <cell r="U2353">
            <v>2</v>
          </cell>
          <cell r="Z2353">
            <v>0</v>
          </cell>
        </row>
        <row r="2354">
          <cell r="D2354">
            <v>41987</v>
          </cell>
          <cell r="U2354">
            <v>0</v>
          </cell>
          <cell r="Z2354">
            <v>1</v>
          </cell>
        </row>
        <row r="2355">
          <cell r="D2355">
            <v>41987</v>
          </cell>
          <cell r="U2355">
            <v>0</v>
          </cell>
          <cell r="Z2355">
            <v>1</v>
          </cell>
        </row>
        <row r="2356">
          <cell r="D2356">
            <v>41987</v>
          </cell>
          <cell r="U2356">
            <v>0</v>
          </cell>
          <cell r="Z2356">
            <v>1</v>
          </cell>
        </row>
        <row r="2357">
          <cell r="D2357">
            <v>41987</v>
          </cell>
          <cell r="U2357">
            <v>0</v>
          </cell>
          <cell r="Z2357">
            <v>1</v>
          </cell>
        </row>
        <row r="2358">
          <cell r="D2358">
            <v>41987</v>
          </cell>
          <cell r="U2358">
            <v>0</v>
          </cell>
          <cell r="Z2358">
            <v>1</v>
          </cell>
        </row>
        <row r="2359">
          <cell r="D2359">
            <v>41987</v>
          </cell>
          <cell r="U2359">
            <v>1</v>
          </cell>
          <cell r="Z2359">
            <v>0</v>
          </cell>
        </row>
        <row r="2360">
          <cell r="D2360">
            <v>41987</v>
          </cell>
          <cell r="U2360">
            <v>0</v>
          </cell>
          <cell r="Z2360">
            <v>1</v>
          </cell>
        </row>
        <row r="2361">
          <cell r="D2361">
            <v>41987</v>
          </cell>
          <cell r="U2361">
            <v>0</v>
          </cell>
          <cell r="Z2361">
            <v>1</v>
          </cell>
        </row>
        <row r="2362">
          <cell r="D2362">
            <v>41987</v>
          </cell>
          <cell r="U2362">
            <v>0</v>
          </cell>
          <cell r="Z2362">
            <v>1</v>
          </cell>
        </row>
        <row r="2363">
          <cell r="D2363">
            <v>41987</v>
          </cell>
          <cell r="U2363">
            <v>0</v>
          </cell>
          <cell r="Z2363">
            <v>1</v>
          </cell>
        </row>
        <row r="2364">
          <cell r="D2364">
            <v>41987</v>
          </cell>
          <cell r="U2364">
            <v>2</v>
          </cell>
          <cell r="Z2364">
            <v>0</v>
          </cell>
        </row>
        <row r="2365">
          <cell r="D2365">
            <v>41987</v>
          </cell>
          <cell r="U2365">
            <v>0</v>
          </cell>
          <cell r="Z2365">
            <v>1</v>
          </cell>
        </row>
        <row r="2366">
          <cell r="D2366">
            <v>41987</v>
          </cell>
          <cell r="U2366">
            <v>0</v>
          </cell>
          <cell r="Z2366">
            <v>1</v>
          </cell>
        </row>
        <row r="2367">
          <cell r="D2367">
            <v>41987</v>
          </cell>
          <cell r="U2367">
            <v>0</v>
          </cell>
          <cell r="Z2367">
            <v>1</v>
          </cell>
        </row>
        <row r="2368">
          <cell r="D2368">
            <v>41987</v>
          </cell>
          <cell r="U2368">
            <v>0</v>
          </cell>
          <cell r="Z2368">
            <v>1</v>
          </cell>
        </row>
        <row r="2369">
          <cell r="D2369">
            <v>41987</v>
          </cell>
          <cell r="U2369">
            <v>2</v>
          </cell>
          <cell r="Z2369">
            <v>0</v>
          </cell>
        </row>
        <row r="2370">
          <cell r="D2370">
            <v>41987</v>
          </cell>
          <cell r="U2370">
            <v>0</v>
          </cell>
          <cell r="Z2370">
            <v>1</v>
          </cell>
        </row>
        <row r="2371">
          <cell r="D2371">
            <v>41987</v>
          </cell>
          <cell r="U2371">
            <v>0</v>
          </cell>
          <cell r="Z2371">
            <v>1</v>
          </cell>
        </row>
        <row r="2372">
          <cell r="D2372">
            <v>41987</v>
          </cell>
          <cell r="U2372">
            <v>0</v>
          </cell>
          <cell r="Z2372">
            <v>1</v>
          </cell>
        </row>
        <row r="2373">
          <cell r="D2373">
            <v>41987</v>
          </cell>
          <cell r="U2373">
            <v>0</v>
          </cell>
          <cell r="Z2373">
            <v>1</v>
          </cell>
        </row>
        <row r="2374">
          <cell r="D2374">
            <v>41987</v>
          </cell>
          <cell r="U2374">
            <v>0</v>
          </cell>
          <cell r="Z2374">
            <v>1</v>
          </cell>
        </row>
        <row r="2375">
          <cell r="D2375">
            <v>41987</v>
          </cell>
          <cell r="U2375">
            <v>0</v>
          </cell>
          <cell r="Z2375">
            <v>1</v>
          </cell>
        </row>
        <row r="2376">
          <cell r="D2376">
            <v>41987</v>
          </cell>
          <cell r="U2376">
            <v>0</v>
          </cell>
          <cell r="Z2376">
            <v>1</v>
          </cell>
        </row>
        <row r="2377">
          <cell r="D2377">
            <v>41987</v>
          </cell>
          <cell r="U2377">
            <v>2</v>
          </cell>
          <cell r="Z2377">
            <v>0</v>
          </cell>
        </row>
        <row r="2378">
          <cell r="D2378">
            <v>41987</v>
          </cell>
          <cell r="U2378">
            <v>0</v>
          </cell>
          <cell r="Z2378">
            <v>1</v>
          </cell>
        </row>
        <row r="2379">
          <cell r="D2379">
            <v>41987</v>
          </cell>
          <cell r="U2379">
            <v>0</v>
          </cell>
          <cell r="Z2379">
            <v>1</v>
          </cell>
        </row>
        <row r="2380">
          <cell r="D2380">
            <v>41987</v>
          </cell>
          <cell r="U2380">
            <v>3</v>
          </cell>
          <cell r="Z2380">
            <v>0</v>
          </cell>
        </row>
        <row r="2381">
          <cell r="D2381">
            <v>41987</v>
          </cell>
          <cell r="U2381">
            <v>0</v>
          </cell>
          <cell r="Z2381">
            <v>1</v>
          </cell>
        </row>
        <row r="2382">
          <cell r="D2382">
            <v>41987</v>
          </cell>
          <cell r="U2382">
            <v>0</v>
          </cell>
          <cell r="Z2382">
            <v>1</v>
          </cell>
        </row>
        <row r="2383">
          <cell r="D2383">
            <v>41987</v>
          </cell>
          <cell r="U2383">
            <v>2</v>
          </cell>
          <cell r="Z2383">
            <v>0</v>
          </cell>
        </row>
        <row r="2384">
          <cell r="D2384">
            <v>41987</v>
          </cell>
          <cell r="U2384">
            <v>0</v>
          </cell>
          <cell r="Z2384">
            <v>1</v>
          </cell>
        </row>
        <row r="2385">
          <cell r="D2385">
            <v>41987</v>
          </cell>
          <cell r="U2385">
            <v>0</v>
          </cell>
          <cell r="Z2385">
            <v>1</v>
          </cell>
        </row>
        <row r="2386">
          <cell r="D2386">
            <v>41987</v>
          </cell>
          <cell r="U2386">
            <v>0</v>
          </cell>
          <cell r="Z2386">
            <v>1</v>
          </cell>
        </row>
        <row r="2387">
          <cell r="D2387">
            <v>41987</v>
          </cell>
          <cell r="U2387">
            <v>1</v>
          </cell>
          <cell r="Z2387">
            <v>0</v>
          </cell>
        </row>
        <row r="2388">
          <cell r="D2388">
            <v>41987</v>
          </cell>
          <cell r="U2388">
            <v>0</v>
          </cell>
          <cell r="Z2388">
            <v>1</v>
          </cell>
        </row>
        <row r="2389">
          <cell r="D2389">
            <v>41987</v>
          </cell>
          <cell r="U2389">
            <v>2</v>
          </cell>
          <cell r="Z2389">
            <v>0</v>
          </cell>
        </row>
        <row r="2390">
          <cell r="D2390">
            <v>41987</v>
          </cell>
          <cell r="U2390">
            <v>0</v>
          </cell>
          <cell r="Z2390">
            <v>1</v>
          </cell>
        </row>
        <row r="2391">
          <cell r="D2391">
            <v>41987</v>
          </cell>
          <cell r="U2391">
            <v>2</v>
          </cell>
          <cell r="Z2391">
            <v>0</v>
          </cell>
        </row>
        <row r="2392">
          <cell r="D2392">
            <v>41987</v>
          </cell>
          <cell r="U2392">
            <v>1</v>
          </cell>
          <cell r="Z2392">
            <v>0</v>
          </cell>
        </row>
        <row r="2393">
          <cell r="D2393">
            <v>41987</v>
          </cell>
          <cell r="U2393">
            <v>3</v>
          </cell>
          <cell r="Z2393">
            <v>0</v>
          </cell>
        </row>
        <row r="2394">
          <cell r="D2394">
            <v>41987</v>
          </cell>
          <cell r="U2394">
            <v>1</v>
          </cell>
          <cell r="Z2394">
            <v>0</v>
          </cell>
        </row>
        <row r="2395">
          <cell r="D2395">
            <v>41987</v>
          </cell>
          <cell r="U2395">
            <v>0</v>
          </cell>
          <cell r="Z2395">
            <v>1</v>
          </cell>
        </row>
        <row r="2396">
          <cell r="D2396">
            <v>41987</v>
          </cell>
          <cell r="U2396">
            <v>2</v>
          </cell>
          <cell r="Z2396">
            <v>0</v>
          </cell>
        </row>
        <row r="2397">
          <cell r="D2397">
            <v>41987</v>
          </cell>
          <cell r="U2397">
            <v>2</v>
          </cell>
          <cell r="Z2397">
            <v>0</v>
          </cell>
        </row>
        <row r="2398">
          <cell r="D2398">
            <v>41987</v>
          </cell>
          <cell r="U2398">
            <v>0</v>
          </cell>
          <cell r="Z2398">
            <v>1</v>
          </cell>
        </row>
        <row r="2399">
          <cell r="D2399">
            <v>41987</v>
          </cell>
          <cell r="U2399">
            <v>3</v>
          </cell>
          <cell r="Z2399">
            <v>0</v>
          </cell>
        </row>
        <row r="2400">
          <cell r="D2400">
            <v>41987</v>
          </cell>
          <cell r="U2400">
            <v>3</v>
          </cell>
          <cell r="Z2400">
            <v>0</v>
          </cell>
        </row>
        <row r="2401">
          <cell r="D2401">
            <v>41987</v>
          </cell>
          <cell r="U2401">
            <v>3</v>
          </cell>
          <cell r="Z2401">
            <v>0</v>
          </cell>
        </row>
        <row r="2402">
          <cell r="D2402">
            <v>41987</v>
          </cell>
          <cell r="U2402">
            <v>3</v>
          </cell>
          <cell r="Z2402">
            <v>0</v>
          </cell>
        </row>
        <row r="2403">
          <cell r="D2403">
            <v>41987</v>
          </cell>
          <cell r="U2403">
            <v>3</v>
          </cell>
          <cell r="Z2403">
            <v>0</v>
          </cell>
        </row>
        <row r="2404">
          <cell r="D2404">
            <v>41987</v>
          </cell>
          <cell r="U2404">
            <v>0</v>
          </cell>
          <cell r="Z2404">
            <v>1</v>
          </cell>
        </row>
        <row r="2405">
          <cell r="D2405">
            <v>41987</v>
          </cell>
          <cell r="U2405">
            <v>3</v>
          </cell>
          <cell r="Z2405">
            <v>0</v>
          </cell>
        </row>
        <row r="2406">
          <cell r="D2406">
            <v>41988</v>
          </cell>
          <cell r="U2406">
            <v>0</v>
          </cell>
          <cell r="Z2406">
            <v>1</v>
          </cell>
        </row>
        <row r="2407">
          <cell r="D2407">
            <v>41988</v>
          </cell>
          <cell r="U2407">
            <v>0</v>
          </cell>
          <cell r="Z2407">
            <v>1</v>
          </cell>
        </row>
        <row r="2408">
          <cell r="D2408">
            <v>41988</v>
          </cell>
          <cell r="U2408">
            <v>2</v>
          </cell>
          <cell r="Z2408">
            <v>0</v>
          </cell>
        </row>
        <row r="2409">
          <cell r="D2409">
            <v>41988</v>
          </cell>
          <cell r="U2409">
            <v>3</v>
          </cell>
          <cell r="Z2409">
            <v>0</v>
          </cell>
        </row>
        <row r="2410">
          <cell r="D2410">
            <v>41988</v>
          </cell>
          <cell r="U2410">
            <v>0</v>
          </cell>
          <cell r="Z2410">
            <v>1</v>
          </cell>
        </row>
        <row r="2411">
          <cell r="D2411">
            <v>41988</v>
          </cell>
          <cell r="U2411">
            <v>1</v>
          </cell>
          <cell r="Z2411">
            <v>0</v>
          </cell>
        </row>
        <row r="2412">
          <cell r="D2412">
            <v>41988</v>
          </cell>
          <cell r="U2412">
            <v>0</v>
          </cell>
          <cell r="Z2412">
            <v>1</v>
          </cell>
        </row>
        <row r="2413">
          <cell r="D2413">
            <v>41988</v>
          </cell>
          <cell r="U2413">
            <v>0</v>
          </cell>
          <cell r="Z2413">
            <v>1</v>
          </cell>
        </row>
        <row r="2414">
          <cell r="D2414">
            <v>41988</v>
          </cell>
          <cell r="U2414">
            <v>2</v>
          </cell>
          <cell r="Z2414">
            <v>0</v>
          </cell>
        </row>
        <row r="2415">
          <cell r="D2415">
            <v>41988</v>
          </cell>
          <cell r="U2415">
            <v>0</v>
          </cell>
          <cell r="Z2415">
            <v>1</v>
          </cell>
        </row>
        <row r="2416">
          <cell r="D2416">
            <v>41988</v>
          </cell>
          <cell r="U2416">
            <v>2</v>
          </cell>
          <cell r="Z2416">
            <v>0</v>
          </cell>
        </row>
        <row r="2417">
          <cell r="D2417">
            <v>41988</v>
          </cell>
          <cell r="U2417">
            <v>0</v>
          </cell>
          <cell r="Z2417">
            <v>1</v>
          </cell>
        </row>
        <row r="2418">
          <cell r="D2418">
            <v>41988</v>
          </cell>
          <cell r="U2418">
            <v>0</v>
          </cell>
          <cell r="Z2418">
            <v>1</v>
          </cell>
        </row>
        <row r="2419">
          <cell r="D2419">
            <v>41988</v>
          </cell>
          <cell r="U2419">
            <v>0</v>
          </cell>
          <cell r="Z2419">
            <v>1</v>
          </cell>
        </row>
        <row r="2420">
          <cell r="D2420">
            <v>41988</v>
          </cell>
          <cell r="U2420">
            <v>0</v>
          </cell>
          <cell r="Z2420">
            <v>1</v>
          </cell>
        </row>
        <row r="2421">
          <cell r="D2421">
            <v>41988</v>
          </cell>
          <cell r="U2421">
            <v>2</v>
          </cell>
          <cell r="Z2421">
            <v>0</v>
          </cell>
        </row>
        <row r="2422">
          <cell r="D2422">
            <v>41988</v>
          </cell>
          <cell r="U2422">
            <v>0</v>
          </cell>
          <cell r="Z2422">
            <v>1</v>
          </cell>
        </row>
        <row r="2423">
          <cell r="D2423">
            <v>41988</v>
          </cell>
          <cell r="U2423">
            <v>3</v>
          </cell>
          <cell r="Z2423">
            <v>0</v>
          </cell>
        </row>
        <row r="2424">
          <cell r="D2424">
            <v>41988</v>
          </cell>
          <cell r="U2424">
            <v>1</v>
          </cell>
          <cell r="Z2424">
            <v>0</v>
          </cell>
        </row>
        <row r="2425">
          <cell r="D2425">
            <v>41988</v>
          </cell>
          <cell r="U2425">
            <v>0</v>
          </cell>
          <cell r="Z2425">
            <v>1</v>
          </cell>
        </row>
        <row r="2426">
          <cell r="D2426">
            <v>41988</v>
          </cell>
          <cell r="U2426">
            <v>3</v>
          </cell>
          <cell r="Z2426">
            <v>0</v>
          </cell>
        </row>
        <row r="2427">
          <cell r="D2427">
            <v>41988</v>
          </cell>
          <cell r="U2427">
            <v>2</v>
          </cell>
          <cell r="Z2427">
            <v>0</v>
          </cell>
        </row>
        <row r="2428">
          <cell r="D2428">
            <v>41988</v>
          </cell>
          <cell r="U2428">
            <v>2</v>
          </cell>
          <cell r="Z2428">
            <v>0</v>
          </cell>
        </row>
        <row r="2429">
          <cell r="D2429">
            <v>41988</v>
          </cell>
          <cell r="U2429">
            <v>0</v>
          </cell>
          <cell r="Z2429">
            <v>1</v>
          </cell>
        </row>
        <row r="2430">
          <cell r="D2430">
            <v>41988</v>
          </cell>
          <cell r="U2430">
            <v>0</v>
          </cell>
          <cell r="Z2430">
            <v>1</v>
          </cell>
        </row>
        <row r="2431">
          <cell r="D2431">
            <v>41988</v>
          </cell>
          <cell r="U2431">
            <v>0</v>
          </cell>
          <cell r="Z2431">
            <v>1</v>
          </cell>
        </row>
        <row r="2432">
          <cell r="D2432">
            <v>41988</v>
          </cell>
          <cell r="U2432">
            <v>1</v>
          </cell>
          <cell r="Z2432">
            <v>0</v>
          </cell>
        </row>
        <row r="2433">
          <cell r="D2433">
            <v>41988</v>
          </cell>
          <cell r="U2433">
            <v>1</v>
          </cell>
          <cell r="Z2433">
            <v>0</v>
          </cell>
        </row>
        <row r="2434">
          <cell r="D2434">
            <v>41988</v>
          </cell>
          <cell r="U2434">
            <v>0</v>
          </cell>
          <cell r="Z2434">
            <v>1</v>
          </cell>
        </row>
        <row r="2435">
          <cell r="D2435">
            <v>41988</v>
          </cell>
          <cell r="U2435">
            <v>2</v>
          </cell>
          <cell r="Z2435">
            <v>0</v>
          </cell>
        </row>
        <row r="2436">
          <cell r="D2436">
            <v>41988</v>
          </cell>
          <cell r="U2436">
            <v>3</v>
          </cell>
          <cell r="Z2436">
            <v>0</v>
          </cell>
        </row>
        <row r="2437">
          <cell r="D2437">
            <v>41988</v>
          </cell>
          <cell r="U2437">
            <v>0</v>
          </cell>
          <cell r="Z2437">
            <v>1</v>
          </cell>
        </row>
        <row r="2438">
          <cell r="D2438">
            <v>41988</v>
          </cell>
          <cell r="U2438">
            <v>0</v>
          </cell>
          <cell r="Z2438">
            <v>1</v>
          </cell>
        </row>
        <row r="2439">
          <cell r="D2439">
            <v>41988</v>
          </cell>
          <cell r="U2439">
            <v>3</v>
          </cell>
          <cell r="Z2439">
            <v>0</v>
          </cell>
        </row>
        <row r="2440">
          <cell r="D2440">
            <v>41988</v>
          </cell>
          <cell r="U2440">
            <v>0</v>
          </cell>
          <cell r="Z2440">
            <v>1</v>
          </cell>
        </row>
        <row r="2441">
          <cell r="D2441">
            <v>41988</v>
          </cell>
          <cell r="U2441">
            <v>0</v>
          </cell>
          <cell r="Z2441">
            <v>1</v>
          </cell>
        </row>
        <row r="2442">
          <cell r="D2442">
            <v>41988</v>
          </cell>
          <cell r="U2442">
            <v>0</v>
          </cell>
          <cell r="Z2442">
            <v>1</v>
          </cell>
        </row>
        <row r="2443">
          <cell r="D2443">
            <v>41988</v>
          </cell>
          <cell r="U2443">
            <v>0</v>
          </cell>
          <cell r="Z2443">
            <v>1</v>
          </cell>
        </row>
        <row r="2444">
          <cell r="D2444">
            <v>41988</v>
          </cell>
          <cell r="U2444">
            <v>0</v>
          </cell>
          <cell r="Z2444">
            <v>1</v>
          </cell>
        </row>
        <row r="2445">
          <cell r="D2445">
            <v>41988</v>
          </cell>
          <cell r="U2445">
            <v>3</v>
          </cell>
          <cell r="Z2445">
            <v>0</v>
          </cell>
        </row>
        <row r="2446">
          <cell r="D2446">
            <v>41988</v>
          </cell>
          <cell r="U2446">
            <v>0</v>
          </cell>
          <cell r="Z2446">
            <v>1</v>
          </cell>
        </row>
        <row r="2447">
          <cell r="D2447">
            <v>41988</v>
          </cell>
          <cell r="U2447">
            <v>0</v>
          </cell>
          <cell r="Z2447">
            <v>1</v>
          </cell>
        </row>
        <row r="2448">
          <cell r="D2448">
            <v>41988</v>
          </cell>
          <cell r="U2448">
            <v>0</v>
          </cell>
          <cell r="Z2448">
            <v>1</v>
          </cell>
        </row>
        <row r="2449">
          <cell r="D2449">
            <v>41988</v>
          </cell>
          <cell r="U2449">
            <v>0</v>
          </cell>
          <cell r="Z2449">
            <v>1</v>
          </cell>
        </row>
        <row r="2450">
          <cell r="D2450">
            <v>41988</v>
          </cell>
          <cell r="U2450">
            <v>0</v>
          </cell>
          <cell r="Z2450">
            <v>1</v>
          </cell>
        </row>
        <row r="2451">
          <cell r="D2451">
            <v>41988</v>
          </cell>
          <cell r="U2451">
            <v>0</v>
          </cell>
          <cell r="Z2451">
            <v>1</v>
          </cell>
        </row>
        <row r="2452">
          <cell r="D2452">
            <v>41988</v>
          </cell>
          <cell r="U2452">
            <v>0</v>
          </cell>
          <cell r="Z2452">
            <v>1</v>
          </cell>
        </row>
        <row r="2453">
          <cell r="D2453">
            <v>41988</v>
          </cell>
          <cell r="U2453">
            <v>1</v>
          </cell>
          <cell r="Z2453">
            <v>0</v>
          </cell>
        </row>
        <row r="2454">
          <cell r="D2454">
            <v>41988</v>
          </cell>
          <cell r="U2454">
            <v>1</v>
          </cell>
          <cell r="Z2454">
            <v>0</v>
          </cell>
        </row>
        <row r="2455">
          <cell r="D2455">
            <v>41988</v>
          </cell>
          <cell r="U2455">
            <v>0</v>
          </cell>
          <cell r="Z2455">
            <v>1</v>
          </cell>
        </row>
        <row r="2456">
          <cell r="D2456">
            <v>41988</v>
          </cell>
          <cell r="U2456">
            <v>0</v>
          </cell>
          <cell r="Z2456">
            <v>1</v>
          </cell>
        </row>
        <row r="2457">
          <cell r="D2457">
            <v>41988</v>
          </cell>
          <cell r="U2457">
            <v>0</v>
          </cell>
          <cell r="Z2457">
            <v>1</v>
          </cell>
        </row>
        <row r="2458">
          <cell r="D2458">
            <v>41988</v>
          </cell>
          <cell r="U2458">
            <v>0</v>
          </cell>
          <cell r="Z2458">
            <v>1</v>
          </cell>
        </row>
        <row r="2459">
          <cell r="D2459">
            <v>41988</v>
          </cell>
          <cell r="U2459">
            <v>0</v>
          </cell>
          <cell r="Z2459">
            <v>1</v>
          </cell>
        </row>
        <row r="2460">
          <cell r="D2460">
            <v>41988</v>
          </cell>
          <cell r="U2460">
            <v>0</v>
          </cell>
          <cell r="Z2460">
            <v>1</v>
          </cell>
        </row>
        <row r="2461">
          <cell r="D2461">
            <v>41988</v>
          </cell>
          <cell r="U2461">
            <v>3</v>
          </cell>
          <cell r="Z2461">
            <v>0</v>
          </cell>
        </row>
        <row r="2462">
          <cell r="D2462">
            <v>41988</v>
          </cell>
          <cell r="U2462">
            <v>3</v>
          </cell>
          <cell r="Z2462">
            <v>0</v>
          </cell>
        </row>
        <row r="2463">
          <cell r="D2463">
            <v>41988</v>
          </cell>
          <cell r="U2463">
            <v>3</v>
          </cell>
          <cell r="Z2463">
            <v>0</v>
          </cell>
        </row>
        <row r="2464">
          <cell r="D2464">
            <v>41988</v>
          </cell>
          <cell r="U2464">
            <v>3</v>
          </cell>
          <cell r="Z2464">
            <v>0</v>
          </cell>
        </row>
        <row r="2465">
          <cell r="D2465">
            <v>41988</v>
          </cell>
          <cell r="U2465">
            <v>0</v>
          </cell>
          <cell r="Z2465">
            <v>1</v>
          </cell>
        </row>
        <row r="2466">
          <cell r="D2466">
            <v>41988</v>
          </cell>
          <cell r="U2466">
            <v>0</v>
          </cell>
          <cell r="Z2466">
            <v>1</v>
          </cell>
        </row>
        <row r="2467">
          <cell r="D2467">
            <v>41988</v>
          </cell>
          <cell r="U2467">
            <v>0</v>
          </cell>
          <cell r="Z2467">
            <v>1</v>
          </cell>
        </row>
        <row r="2468">
          <cell r="D2468">
            <v>41988</v>
          </cell>
          <cell r="U2468">
            <v>0</v>
          </cell>
          <cell r="Z2468">
            <v>1</v>
          </cell>
        </row>
        <row r="2469">
          <cell r="D2469">
            <v>41988</v>
          </cell>
          <cell r="U2469">
            <v>2</v>
          </cell>
          <cell r="Z2469">
            <v>0</v>
          </cell>
        </row>
        <row r="2470">
          <cell r="D2470">
            <v>41988</v>
          </cell>
          <cell r="U2470">
            <v>2</v>
          </cell>
          <cell r="Z2470">
            <v>0</v>
          </cell>
        </row>
        <row r="2471">
          <cell r="D2471">
            <v>41988</v>
          </cell>
          <cell r="U2471">
            <v>0</v>
          </cell>
          <cell r="Z2471">
            <v>1</v>
          </cell>
        </row>
        <row r="2472">
          <cell r="D2472">
            <v>41988</v>
          </cell>
          <cell r="U2472">
            <v>2</v>
          </cell>
          <cell r="Z2472">
            <v>0</v>
          </cell>
        </row>
        <row r="2473">
          <cell r="D2473">
            <v>41988</v>
          </cell>
          <cell r="U2473">
            <v>2</v>
          </cell>
          <cell r="Z2473">
            <v>0</v>
          </cell>
        </row>
        <row r="2474">
          <cell r="D2474">
            <v>41988</v>
          </cell>
          <cell r="U2474">
            <v>0</v>
          </cell>
          <cell r="Z2474">
            <v>1</v>
          </cell>
        </row>
        <row r="2475">
          <cell r="D2475">
            <v>41988</v>
          </cell>
          <cell r="U2475">
            <v>0</v>
          </cell>
          <cell r="Z2475">
            <v>1</v>
          </cell>
        </row>
        <row r="2476">
          <cell r="D2476">
            <v>41988</v>
          </cell>
          <cell r="U2476">
            <v>0</v>
          </cell>
          <cell r="Z2476">
            <v>1</v>
          </cell>
        </row>
        <row r="2477">
          <cell r="D2477">
            <v>41988</v>
          </cell>
          <cell r="U2477">
            <v>0</v>
          </cell>
          <cell r="Z2477">
            <v>1</v>
          </cell>
        </row>
        <row r="2478">
          <cell r="D2478">
            <v>41988</v>
          </cell>
          <cell r="U2478">
            <v>0</v>
          </cell>
          <cell r="Z2478">
            <v>1</v>
          </cell>
        </row>
        <row r="2479">
          <cell r="D2479">
            <v>41988</v>
          </cell>
          <cell r="U2479">
            <v>1</v>
          </cell>
          <cell r="Z2479">
            <v>0</v>
          </cell>
        </row>
        <row r="2480">
          <cell r="D2480">
            <v>41988</v>
          </cell>
          <cell r="U2480">
            <v>0</v>
          </cell>
          <cell r="Z2480">
            <v>1</v>
          </cell>
        </row>
        <row r="2481">
          <cell r="D2481">
            <v>41988</v>
          </cell>
          <cell r="U2481">
            <v>0</v>
          </cell>
          <cell r="Z2481">
            <v>1</v>
          </cell>
        </row>
        <row r="2482">
          <cell r="D2482">
            <v>41988</v>
          </cell>
          <cell r="U2482">
            <v>0</v>
          </cell>
          <cell r="Z2482">
            <v>1</v>
          </cell>
        </row>
        <row r="2483">
          <cell r="D2483">
            <v>41988</v>
          </cell>
          <cell r="U2483">
            <v>1</v>
          </cell>
          <cell r="Z2483">
            <v>0</v>
          </cell>
        </row>
        <row r="2484">
          <cell r="D2484">
            <v>41988</v>
          </cell>
          <cell r="U2484">
            <v>0</v>
          </cell>
          <cell r="Z2484">
            <v>1</v>
          </cell>
        </row>
        <row r="2485">
          <cell r="D2485">
            <v>41988</v>
          </cell>
          <cell r="U2485">
            <v>3</v>
          </cell>
          <cell r="Z2485">
            <v>0</v>
          </cell>
        </row>
        <row r="2486">
          <cell r="D2486">
            <v>41988</v>
          </cell>
          <cell r="U2486">
            <v>3</v>
          </cell>
          <cell r="Z2486">
            <v>0</v>
          </cell>
        </row>
        <row r="2487">
          <cell r="D2487">
            <v>41988</v>
          </cell>
          <cell r="U2487">
            <v>1</v>
          </cell>
          <cell r="Z2487">
            <v>0</v>
          </cell>
        </row>
        <row r="2488">
          <cell r="D2488">
            <v>41988</v>
          </cell>
          <cell r="U2488">
            <v>0</v>
          </cell>
          <cell r="Z2488">
            <v>1</v>
          </cell>
        </row>
        <row r="2489">
          <cell r="D2489">
            <v>41988</v>
          </cell>
          <cell r="U2489">
            <v>1</v>
          </cell>
          <cell r="Z2489">
            <v>0</v>
          </cell>
        </row>
        <row r="2490">
          <cell r="D2490">
            <v>41988</v>
          </cell>
          <cell r="U2490">
            <v>2</v>
          </cell>
          <cell r="Z2490">
            <v>0</v>
          </cell>
        </row>
        <row r="2491">
          <cell r="D2491">
            <v>41988</v>
          </cell>
          <cell r="U2491">
            <v>0</v>
          </cell>
          <cell r="Z2491">
            <v>1</v>
          </cell>
        </row>
        <row r="2492">
          <cell r="D2492">
            <v>41988</v>
          </cell>
          <cell r="U2492">
            <v>0</v>
          </cell>
          <cell r="Z2492">
            <v>1</v>
          </cell>
        </row>
        <row r="2493">
          <cell r="D2493">
            <v>41988</v>
          </cell>
          <cell r="U2493">
            <v>0</v>
          </cell>
          <cell r="Z2493">
            <v>1</v>
          </cell>
        </row>
        <row r="2494">
          <cell r="D2494">
            <v>41988</v>
          </cell>
          <cell r="U2494">
            <v>3</v>
          </cell>
          <cell r="Z2494">
            <v>0</v>
          </cell>
        </row>
        <row r="2495">
          <cell r="D2495">
            <v>41988</v>
          </cell>
          <cell r="U2495">
            <v>3</v>
          </cell>
          <cell r="Z2495">
            <v>0</v>
          </cell>
        </row>
        <row r="2496">
          <cell r="D2496">
            <v>41988</v>
          </cell>
          <cell r="U2496">
            <v>0</v>
          </cell>
          <cell r="Z2496">
            <v>1</v>
          </cell>
        </row>
        <row r="2497">
          <cell r="D2497">
            <v>41988</v>
          </cell>
          <cell r="U2497">
            <v>2</v>
          </cell>
          <cell r="Z2497">
            <v>0</v>
          </cell>
        </row>
        <row r="2498">
          <cell r="D2498">
            <v>41988</v>
          </cell>
          <cell r="U2498">
            <v>0</v>
          </cell>
          <cell r="Z2498">
            <v>1</v>
          </cell>
        </row>
        <row r="2499">
          <cell r="D2499">
            <v>41988</v>
          </cell>
          <cell r="U2499">
            <v>0</v>
          </cell>
          <cell r="Z2499">
            <v>1</v>
          </cell>
        </row>
        <row r="2500">
          <cell r="D2500">
            <v>41988</v>
          </cell>
          <cell r="U2500">
            <v>0</v>
          </cell>
          <cell r="Z2500">
            <v>1</v>
          </cell>
        </row>
        <row r="2501">
          <cell r="D2501">
            <v>41988</v>
          </cell>
          <cell r="U2501">
            <v>0</v>
          </cell>
          <cell r="Z2501">
            <v>1</v>
          </cell>
        </row>
        <row r="2502">
          <cell r="D2502">
            <v>41988</v>
          </cell>
          <cell r="U2502">
            <v>0</v>
          </cell>
          <cell r="Z2502">
            <v>1</v>
          </cell>
        </row>
        <row r="2503">
          <cell r="D2503">
            <v>41988</v>
          </cell>
          <cell r="U2503">
            <v>1</v>
          </cell>
          <cell r="Z2503">
            <v>0</v>
          </cell>
        </row>
        <row r="2504">
          <cell r="D2504">
            <v>41988</v>
          </cell>
          <cell r="U2504">
            <v>1</v>
          </cell>
          <cell r="Z2504">
            <v>0</v>
          </cell>
        </row>
        <row r="2505">
          <cell r="D2505">
            <v>41988</v>
          </cell>
          <cell r="U2505">
            <v>0</v>
          </cell>
          <cell r="Z2505">
            <v>1</v>
          </cell>
        </row>
        <row r="2506">
          <cell r="D2506">
            <v>41988</v>
          </cell>
          <cell r="U2506">
            <v>0</v>
          </cell>
          <cell r="Z2506">
            <v>1</v>
          </cell>
        </row>
        <row r="2507">
          <cell r="D2507">
            <v>41988</v>
          </cell>
          <cell r="U2507">
            <v>0</v>
          </cell>
          <cell r="Z2507">
            <v>1</v>
          </cell>
        </row>
        <row r="2508">
          <cell r="D2508">
            <v>41988</v>
          </cell>
          <cell r="U2508">
            <v>3</v>
          </cell>
          <cell r="Z2508">
            <v>0</v>
          </cell>
        </row>
        <row r="2509">
          <cell r="D2509">
            <v>41988</v>
          </cell>
          <cell r="U2509">
            <v>0</v>
          </cell>
          <cell r="Z2509">
            <v>1</v>
          </cell>
        </row>
        <row r="2510">
          <cell r="D2510">
            <v>41988</v>
          </cell>
          <cell r="U2510">
            <v>0</v>
          </cell>
          <cell r="Z2510">
            <v>1</v>
          </cell>
        </row>
        <row r="2511">
          <cell r="D2511">
            <v>41988</v>
          </cell>
          <cell r="U2511">
            <v>0</v>
          </cell>
          <cell r="Z2511">
            <v>1</v>
          </cell>
        </row>
        <row r="2512">
          <cell r="D2512">
            <v>41988</v>
          </cell>
          <cell r="U2512">
            <v>0</v>
          </cell>
          <cell r="Z2512">
            <v>1</v>
          </cell>
        </row>
        <row r="2513">
          <cell r="D2513">
            <v>41988</v>
          </cell>
          <cell r="U2513">
            <v>0</v>
          </cell>
          <cell r="Z2513">
            <v>1</v>
          </cell>
        </row>
        <row r="2514">
          <cell r="D2514">
            <v>41988</v>
          </cell>
          <cell r="U2514">
            <v>3</v>
          </cell>
          <cell r="Z2514">
            <v>0</v>
          </cell>
        </row>
        <row r="2515">
          <cell r="D2515">
            <v>41988</v>
          </cell>
          <cell r="U2515">
            <v>0</v>
          </cell>
          <cell r="Z2515">
            <v>1</v>
          </cell>
        </row>
        <row r="2516">
          <cell r="D2516">
            <v>41988</v>
          </cell>
          <cell r="U2516">
            <v>0</v>
          </cell>
          <cell r="Z2516">
            <v>1</v>
          </cell>
        </row>
        <row r="2517">
          <cell r="D2517">
            <v>41988</v>
          </cell>
          <cell r="U2517">
            <v>0</v>
          </cell>
          <cell r="Z2517">
            <v>1</v>
          </cell>
        </row>
        <row r="2518">
          <cell r="D2518">
            <v>41988</v>
          </cell>
          <cell r="U2518">
            <v>0</v>
          </cell>
          <cell r="Z2518">
            <v>1</v>
          </cell>
        </row>
        <row r="2519">
          <cell r="D2519">
            <v>41988</v>
          </cell>
          <cell r="U2519">
            <v>0</v>
          </cell>
          <cell r="Z2519">
            <v>1</v>
          </cell>
        </row>
        <row r="2520">
          <cell r="D2520">
            <v>41988</v>
          </cell>
          <cell r="U2520">
            <v>0</v>
          </cell>
          <cell r="Z2520">
            <v>1</v>
          </cell>
        </row>
        <row r="2521">
          <cell r="D2521">
            <v>41988</v>
          </cell>
          <cell r="U2521">
            <v>0</v>
          </cell>
          <cell r="Z2521">
            <v>1</v>
          </cell>
        </row>
        <row r="2522">
          <cell r="D2522">
            <v>41988</v>
          </cell>
          <cell r="U2522">
            <v>0</v>
          </cell>
          <cell r="Z2522">
            <v>1</v>
          </cell>
        </row>
        <row r="2523">
          <cell r="D2523">
            <v>41988</v>
          </cell>
          <cell r="U2523">
            <v>2</v>
          </cell>
          <cell r="Z2523">
            <v>0</v>
          </cell>
        </row>
        <row r="2524">
          <cell r="D2524">
            <v>41988</v>
          </cell>
          <cell r="U2524">
            <v>1</v>
          </cell>
          <cell r="Z2524">
            <v>0</v>
          </cell>
        </row>
        <row r="2525">
          <cell r="D2525">
            <v>41988</v>
          </cell>
          <cell r="U2525">
            <v>2</v>
          </cell>
          <cell r="Z2525">
            <v>0</v>
          </cell>
        </row>
        <row r="2526">
          <cell r="D2526">
            <v>41988</v>
          </cell>
          <cell r="U2526">
            <v>1</v>
          </cell>
          <cell r="Z2526">
            <v>0</v>
          </cell>
        </row>
        <row r="2527">
          <cell r="D2527">
            <v>41988</v>
          </cell>
          <cell r="U2527">
            <v>1</v>
          </cell>
          <cell r="Z2527">
            <v>0</v>
          </cell>
        </row>
        <row r="2528">
          <cell r="D2528">
            <v>41988</v>
          </cell>
          <cell r="U2528">
            <v>0</v>
          </cell>
          <cell r="Z2528">
            <v>1</v>
          </cell>
        </row>
        <row r="2529">
          <cell r="D2529">
            <v>41988</v>
          </cell>
          <cell r="U2529">
            <v>0</v>
          </cell>
          <cell r="Z2529">
            <v>1</v>
          </cell>
        </row>
        <row r="2530">
          <cell r="D2530">
            <v>41988</v>
          </cell>
          <cell r="U2530">
            <v>0</v>
          </cell>
          <cell r="Z2530">
            <v>1</v>
          </cell>
        </row>
        <row r="2531">
          <cell r="D2531">
            <v>41988</v>
          </cell>
          <cell r="U2531">
            <v>0</v>
          </cell>
          <cell r="Z2531">
            <v>1</v>
          </cell>
        </row>
        <row r="2532">
          <cell r="D2532">
            <v>41988</v>
          </cell>
          <cell r="U2532">
            <v>0</v>
          </cell>
          <cell r="Z2532">
            <v>1</v>
          </cell>
        </row>
        <row r="2533">
          <cell r="D2533">
            <v>41988</v>
          </cell>
          <cell r="U2533">
            <v>0</v>
          </cell>
          <cell r="Z2533">
            <v>1</v>
          </cell>
        </row>
        <row r="2534">
          <cell r="D2534">
            <v>41988</v>
          </cell>
          <cell r="U2534">
            <v>0</v>
          </cell>
          <cell r="Z2534">
            <v>1</v>
          </cell>
        </row>
        <row r="2535">
          <cell r="D2535">
            <v>41988</v>
          </cell>
          <cell r="U2535">
            <v>0</v>
          </cell>
          <cell r="Z2535">
            <v>1</v>
          </cell>
        </row>
        <row r="2536">
          <cell r="D2536">
            <v>41988</v>
          </cell>
          <cell r="U2536">
            <v>1</v>
          </cell>
          <cell r="Z2536">
            <v>0</v>
          </cell>
        </row>
        <row r="2537">
          <cell r="D2537">
            <v>41988</v>
          </cell>
          <cell r="U2537">
            <v>0</v>
          </cell>
          <cell r="Z2537">
            <v>1</v>
          </cell>
        </row>
        <row r="2538">
          <cell r="D2538">
            <v>41988</v>
          </cell>
          <cell r="U2538">
            <v>3</v>
          </cell>
          <cell r="Z2538">
            <v>0</v>
          </cell>
        </row>
        <row r="2539">
          <cell r="D2539">
            <v>41988</v>
          </cell>
          <cell r="U2539">
            <v>1</v>
          </cell>
          <cell r="Z2539">
            <v>0</v>
          </cell>
        </row>
        <row r="2540">
          <cell r="D2540">
            <v>41988</v>
          </cell>
          <cell r="U2540">
            <v>0</v>
          </cell>
          <cell r="Z2540">
            <v>1</v>
          </cell>
        </row>
        <row r="2541">
          <cell r="D2541">
            <v>41988</v>
          </cell>
          <cell r="U2541">
            <v>0</v>
          </cell>
          <cell r="Z2541">
            <v>1</v>
          </cell>
        </row>
        <row r="2542">
          <cell r="D2542">
            <v>41988</v>
          </cell>
          <cell r="U2542">
            <v>0</v>
          </cell>
          <cell r="Z2542">
            <v>1</v>
          </cell>
        </row>
        <row r="2543">
          <cell r="D2543">
            <v>41988</v>
          </cell>
          <cell r="U2543">
            <v>0</v>
          </cell>
          <cell r="Z2543">
            <v>1</v>
          </cell>
        </row>
        <row r="2544">
          <cell r="D2544">
            <v>41988</v>
          </cell>
          <cell r="U2544">
            <v>1</v>
          </cell>
          <cell r="Z2544">
            <v>0</v>
          </cell>
        </row>
        <row r="2545">
          <cell r="D2545">
            <v>41988</v>
          </cell>
          <cell r="U2545">
            <v>0</v>
          </cell>
          <cell r="Z2545">
            <v>1</v>
          </cell>
        </row>
        <row r="2546">
          <cell r="D2546">
            <v>41988</v>
          </cell>
          <cell r="U2546">
            <v>1</v>
          </cell>
          <cell r="Z2546">
            <v>0</v>
          </cell>
        </row>
        <row r="2547">
          <cell r="D2547">
            <v>41988</v>
          </cell>
          <cell r="U2547">
            <v>0</v>
          </cell>
          <cell r="Z2547">
            <v>1</v>
          </cell>
        </row>
        <row r="2548">
          <cell r="D2548">
            <v>41988</v>
          </cell>
          <cell r="U2548">
            <v>0</v>
          </cell>
          <cell r="Z2548">
            <v>1</v>
          </cell>
        </row>
        <row r="2549">
          <cell r="D2549">
            <v>41988</v>
          </cell>
          <cell r="U2549">
            <v>0</v>
          </cell>
          <cell r="Z2549">
            <v>1</v>
          </cell>
        </row>
        <row r="2550">
          <cell r="D2550">
            <v>41988</v>
          </cell>
          <cell r="U2550">
            <v>0</v>
          </cell>
          <cell r="Z2550">
            <v>1</v>
          </cell>
        </row>
        <row r="2551">
          <cell r="D2551">
            <v>41988</v>
          </cell>
          <cell r="U2551">
            <v>0</v>
          </cell>
          <cell r="Z2551">
            <v>1</v>
          </cell>
        </row>
        <row r="2552">
          <cell r="D2552">
            <v>41988</v>
          </cell>
          <cell r="U2552">
            <v>0</v>
          </cell>
          <cell r="Z2552">
            <v>1</v>
          </cell>
        </row>
        <row r="2553">
          <cell r="D2553">
            <v>41988</v>
          </cell>
          <cell r="U2553">
            <v>0</v>
          </cell>
          <cell r="Z2553">
            <v>1</v>
          </cell>
        </row>
        <row r="2554">
          <cell r="D2554">
            <v>41988</v>
          </cell>
          <cell r="U2554">
            <v>0</v>
          </cell>
          <cell r="Z2554">
            <v>1</v>
          </cell>
        </row>
        <row r="2555">
          <cell r="D2555">
            <v>41988</v>
          </cell>
          <cell r="U2555">
            <v>2</v>
          </cell>
          <cell r="Z2555">
            <v>0</v>
          </cell>
        </row>
        <row r="2556">
          <cell r="D2556">
            <v>41988</v>
          </cell>
          <cell r="U2556">
            <v>1</v>
          </cell>
          <cell r="Z2556">
            <v>0</v>
          </cell>
        </row>
        <row r="2557">
          <cell r="D2557">
            <v>41988</v>
          </cell>
          <cell r="U2557">
            <v>1</v>
          </cell>
          <cell r="Z2557">
            <v>0</v>
          </cell>
        </row>
        <row r="2558">
          <cell r="D2558">
            <v>41988</v>
          </cell>
          <cell r="U2558">
            <v>2</v>
          </cell>
          <cell r="Z2558">
            <v>0</v>
          </cell>
        </row>
        <row r="2559">
          <cell r="D2559">
            <v>41988</v>
          </cell>
          <cell r="U2559">
            <v>3</v>
          </cell>
          <cell r="Z2559">
            <v>0</v>
          </cell>
        </row>
        <row r="2560">
          <cell r="D2560">
            <v>41988</v>
          </cell>
          <cell r="U2560">
            <v>1</v>
          </cell>
          <cell r="Z2560">
            <v>0</v>
          </cell>
        </row>
        <row r="2561">
          <cell r="D2561">
            <v>41988</v>
          </cell>
          <cell r="U2561">
            <v>1</v>
          </cell>
          <cell r="Z2561">
            <v>0</v>
          </cell>
        </row>
        <row r="2562">
          <cell r="D2562">
            <v>41988</v>
          </cell>
          <cell r="U2562">
            <v>0</v>
          </cell>
          <cell r="Z2562">
            <v>1</v>
          </cell>
        </row>
        <row r="2563">
          <cell r="D2563">
            <v>41988</v>
          </cell>
          <cell r="U2563">
            <v>0</v>
          </cell>
          <cell r="Z2563">
            <v>1</v>
          </cell>
        </row>
        <row r="2564">
          <cell r="D2564">
            <v>41989</v>
          </cell>
          <cell r="U2564">
            <v>0</v>
          </cell>
          <cell r="Z2564">
            <v>1</v>
          </cell>
        </row>
        <row r="2565">
          <cell r="D2565">
            <v>41989</v>
          </cell>
          <cell r="U2565">
            <v>0</v>
          </cell>
          <cell r="Z2565">
            <v>1</v>
          </cell>
        </row>
        <row r="2566">
          <cell r="D2566">
            <v>41989</v>
          </cell>
          <cell r="U2566">
            <v>0</v>
          </cell>
          <cell r="Z2566">
            <v>1</v>
          </cell>
        </row>
        <row r="2567">
          <cell r="D2567">
            <v>41989</v>
          </cell>
          <cell r="U2567">
            <v>0</v>
          </cell>
          <cell r="Z2567">
            <v>1</v>
          </cell>
        </row>
        <row r="2568">
          <cell r="D2568">
            <v>41989</v>
          </cell>
          <cell r="U2568">
            <v>0</v>
          </cell>
          <cell r="Z2568">
            <v>1</v>
          </cell>
        </row>
        <row r="2569">
          <cell r="D2569">
            <v>41989</v>
          </cell>
          <cell r="U2569">
            <v>0</v>
          </cell>
          <cell r="Z2569">
            <v>1</v>
          </cell>
        </row>
        <row r="2570">
          <cell r="D2570">
            <v>41989</v>
          </cell>
          <cell r="U2570">
            <v>1</v>
          </cell>
          <cell r="Z2570">
            <v>0</v>
          </cell>
        </row>
        <row r="2571">
          <cell r="D2571">
            <v>41989</v>
          </cell>
          <cell r="U2571">
            <v>0</v>
          </cell>
          <cell r="Z2571">
            <v>1</v>
          </cell>
        </row>
        <row r="2572">
          <cell r="D2572">
            <v>41989</v>
          </cell>
          <cell r="U2572">
            <v>2</v>
          </cell>
          <cell r="Z2572">
            <v>0</v>
          </cell>
        </row>
        <row r="2573">
          <cell r="D2573">
            <v>41989</v>
          </cell>
          <cell r="U2573">
            <v>0</v>
          </cell>
          <cell r="Z2573">
            <v>1</v>
          </cell>
        </row>
        <row r="2574">
          <cell r="D2574">
            <v>41989</v>
          </cell>
          <cell r="U2574">
            <v>0</v>
          </cell>
          <cell r="Z2574">
            <v>1</v>
          </cell>
        </row>
        <row r="2575">
          <cell r="D2575">
            <v>41989</v>
          </cell>
          <cell r="U2575">
            <v>0</v>
          </cell>
          <cell r="Z2575">
            <v>1</v>
          </cell>
        </row>
        <row r="2576">
          <cell r="D2576">
            <v>41989</v>
          </cell>
          <cell r="U2576">
            <v>0</v>
          </cell>
          <cell r="Z2576">
            <v>1</v>
          </cell>
        </row>
        <row r="2577">
          <cell r="D2577">
            <v>41989</v>
          </cell>
          <cell r="U2577">
            <v>2</v>
          </cell>
          <cell r="Z2577">
            <v>0</v>
          </cell>
        </row>
        <row r="2578">
          <cell r="D2578">
            <v>41989</v>
          </cell>
          <cell r="U2578">
            <v>2</v>
          </cell>
          <cell r="Z2578">
            <v>0</v>
          </cell>
        </row>
        <row r="2579">
          <cell r="D2579">
            <v>41989</v>
          </cell>
          <cell r="U2579">
            <v>0</v>
          </cell>
          <cell r="Z2579">
            <v>1</v>
          </cell>
        </row>
        <row r="2580">
          <cell r="D2580">
            <v>41989</v>
          </cell>
          <cell r="U2580">
            <v>2</v>
          </cell>
          <cell r="Z2580">
            <v>0</v>
          </cell>
        </row>
        <row r="2581">
          <cell r="D2581">
            <v>41989</v>
          </cell>
          <cell r="U2581">
            <v>1</v>
          </cell>
          <cell r="Z2581">
            <v>0</v>
          </cell>
        </row>
        <row r="2582">
          <cell r="D2582">
            <v>41989</v>
          </cell>
          <cell r="U2582">
            <v>1</v>
          </cell>
          <cell r="Z2582">
            <v>0</v>
          </cell>
        </row>
        <row r="2583">
          <cell r="D2583">
            <v>41989</v>
          </cell>
          <cell r="U2583">
            <v>0</v>
          </cell>
          <cell r="Z2583">
            <v>1</v>
          </cell>
        </row>
        <row r="2584">
          <cell r="D2584">
            <v>41989</v>
          </cell>
          <cell r="U2584">
            <v>0</v>
          </cell>
          <cell r="Z2584">
            <v>1</v>
          </cell>
        </row>
        <row r="2585">
          <cell r="D2585">
            <v>41989</v>
          </cell>
          <cell r="U2585">
            <v>0</v>
          </cell>
          <cell r="Z2585">
            <v>1</v>
          </cell>
        </row>
        <row r="2586">
          <cell r="D2586">
            <v>41989</v>
          </cell>
          <cell r="U2586">
            <v>0</v>
          </cell>
          <cell r="Z2586">
            <v>1</v>
          </cell>
        </row>
        <row r="2587">
          <cell r="D2587">
            <v>41989</v>
          </cell>
          <cell r="U2587">
            <v>2</v>
          </cell>
          <cell r="Z2587">
            <v>0</v>
          </cell>
        </row>
        <row r="2588">
          <cell r="D2588">
            <v>41989</v>
          </cell>
          <cell r="U2588">
            <v>0</v>
          </cell>
          <cell r="Z2588">
            <v>1</v>
          </cell>
        </row>
        <row r="2589">
          <cell r="D2589">
            <v>41989</v>
          </cell>
          <cell r="U2589">
            <v>0</v>
          </cell>
          <cell r="Z2589">
            <v>1</v>
          </cell>
        </row>
        <row r="2590">
          <cell r="D2590">
            <v>41989</v>
          </cell>
          <cell r="U2590">
            <v>1</v>
          </cell>
          <cell r="Z2590">
            <v>0</v>
          </cell>
        </row>
        <row r="2591">
          <cell r="D2591">
            <v>41989</v>
          </cell>
          <cell r="U2591">
            <v>1</v>
          </cell>
          <cell r="Z2591">
            <v>0</v>
          </cell>
        </row>
        <row r="2592">
          <cell r="D2592">
            <v>41989</v>
          </cell>
          <cell r="U2592">
            <v>0</v>
          </cell>
          <cell r="Z2592">
            <v>1</v>
          </cell>
        </row>
        <row r="2593">
          <cell r="D2593">
            <v>41989</v>
          </cell>
          <cell r="U2593">
            <v>1</v>
          </cell>
          <cell r="Z2593">
            <v>0</v>
          </cell>
        </row>
        <row r="2594">
          <cell r="D2594">
            <v>41989</v>
          </cell>
          <cell r="U2594">
            <v>3</v>
          </cell>
          <cell r="Z2594">
            <v>0</v>
          </cell>
        </row>
        <row r="2595">
          <cell r="D2595">
            <v>41989</v>
          </cell>
          <cell r="U2595">
            <v>0</v>
          </cell>
          <cell r="Z2595">
            <v>1</v>
          </cell>
        </row>
        <row r="2596">
          <cell r="D2596">
            <v>41989</v>
          </cell>
          <cell r="U2596">
            <v>0</v>
          </cell>
          <cell r="Z2596">
            <v>1</v>
          </cell>
        </row>
        <row r="2597">
          <cell r="D2597">
            <v>41989</v>
          </cell>
          <cell r="U2597">
            <v>0</v>
          </cell>
          <cell r="Z2597">
            <v>1</v>
          </cell>
        </row>
        <row r="2598">
          <cell r="D2598">
            <v>41989</v>
          </cell>
          <cell r="U2598">
            <v>0</v>
          </cell>
          <cell r="Z2598">
            <v>1</v>
          </cell>
        </row>
        <row r="2599">
          <cell r="D2599">
            <v>41989</v>
          </cell>
          <cell r="U2599">
            <v>0</v>
          </cell>
          <cell r="Z2599">
            <v>1</v>
          </cell>
        </row>
        <row r="2600">
          <cell r="D2600">
            <v>41989</v>
          </cell>
          <cell r="U2600">
            <v>2</v>
          </cell>
          <cell r="Z2600">
            <v>0</v>
          </cell>
        </row>
        <row r="2601">
          <cell r="D2601">
            <v>41989</v>
          </cell>
          <cell r="U2601">
            <v>0</v>
          </cell>
          <cell r="Z2601">
            <v>1</v>
          </cell>
        </row>
        <row r="2602">
          <cell r="D2602">
            <v>41989</v>
          </cell>
          <cell r="U2602">
            <v>0</v>
          </cell>
          <cell r="Z2602">
            <v>1</v>
          </cell>
        </row>
        <row r="2603">
          <cell r="D2603">
            <v>41989</v>
          </cell>
          <cell r="U2603">
            <v>2</v>
          </cell>
          <cell r="Z2603">
            <v>0</v>
          </cell>
        </row>
        <row r="2604">
          <cell r="D2604">
            <v>41989</v>
          </cell>
          <cell r="U2604">
            <v>0</v>
          </cell>
          <cell r="Z2604">
            <v>1</v>
          </cell>
        </row>
        <row r="2605">
          <cell r="D2605">
            <v>41989</v>
          </cell>
          <cell r="U2605">
            <v>0</v>
          </cell>
          <cell r="Z2605">
            <v>1</v>
          </cell>
        </row>
        <row r="2606">
          <cell r="D2606">
            <v>41989</v>
          </cell>
          <cell r="U2606">
            <v>0</v>
          </cell>
          <cell r="Z2606">
            <v>1</v>
          </cell>
        </row>
        <row r="2607">
          <cell r="D2607">
            <v>41989</v>
          </cell>
          <cell r="U2607">
            <v>0</v>
          </cell>
          <cell r="Z2607">
            <v>1</v>
          </cell>
        </row>
        <row r="2608">
          <cell r="D2608">
            <v>41989</v>
          </cell>
          <cell r="U2608">
            <v>0</v>
          </cell>
          <cell r="Z2608">
            <v>1</v>
          </cell>
        </row>
        <row r="2609">
          <cell r="D2609">
            <v>41989</v>
          </cell>
          <cell r="U2609">
            <v>0</v>
          </cell>
          <cell r="Z2609">
            <v>1</v>
          </cell>
        </row>
        <row r="2610">
          <cell r="D2610">
            <v>41989</v>
          </cell>
          <cell r="U2610">
            <v>0</v>
          </cell>
          <cell r="Z2610">
            <v>1</v>
          </cell>
        </row>
        <row r="2611">
          <cell r="D2611">
            <v>41989</v>
          </cell>
          <cell r="U2611">
            <v>0</v>
          </cell>
          <cell r="Z2611">
            <v>1</v>
          </cell>
        </row>
        <row r="2612">
          <cell r="D2612">
            <v>41989</v>
          </cell>
          <cell r="U2612">
            <v>0</v>
          </cell>
          <cell r="Z2612">
            <v>1</v>
          </cell>
        </row>
        <row r="2613">
          <cell r="D2613">
            <v>41989</v>
          </cell>
          <cell r="U2613">
            <v>0</v>
          </cell>
          <cell r="Z2613">
            <v>1</v>
          </cell>
        </row>
        <row r="2614">
          <cell r="D2614">
            <v>41989</v>
          </cell>
          <cell r="U2614">
            <v>0</v>
          </cell>
          <cell r="Z2614">
            <v>1</v>
          </cell>
        </row>
        <row r="2615">
          <cell r="D2615">
            <v>41989</v>
          </cell>
          <cell r="U2615">
            <v>0</v>
          </cell>
          <cell r="Z2615">
            <v>1</v>
          </cell>
        </row>
        <row r="2616">
          <cell r="D2616">
            <v>41989</v>
          </cell>
          <cell r="U2616">
            <v>0</v>
          </cell>
          <cell r="Z2616">
            <v>1</v>
          </cell>
        </row>
        <row r="2617">
          <cell r="D2617">
            <v>41989</v>
          </cell>
          <cell r="U2617">
            <v>0</v>
          </cell>
          <cell r="Z2617">
            <v>1</v>
          </cell>
        </row>
        <row r="2618">
          <cell r="D2618">
            <v>41989</v>
          </cell>
          <cell r="U2618">
            <v>0</v>
          </cell>
          <cell r="Z2618">
            <v>1</v>
          </cell>
        </row>
        <row r="2619">
          <cell r="D2619">
            <v>41989</v>
          </cell>
          <cell r="U2619">
            <v>0</v>
          </cell>
          <cell r="Z2619">
            <v>1</v>
          </cell>
        </row>
        <row r="2620">
          <cell r="D2620">
            <v>41989</v>
          </cell>
          <cell r="U2620">
            <v>0</v>
          </cell>
          <cell r="Z2620">
            <v>1</v>
          </cell>
        </row>
        <row r="2621">
          <cell r="D2621">
            <v>41989</v>
          </cell>
          <cell r="U2621">
            <v>0</v>
          </cell>
          <cell r="Z2621">
            <v>1</v>
          </cell>
        </row>
        <row r="2622">
          <cell r="D2622">
            <v>41989</v>
          </cell>
          <cell r="U2622">
            <v>0</v>
          </cell>
          <cell r="Z2622">
            <v>1</v>
          </cell>
        </row>
        <row r="2623">
          <cell r="D2623">
            <v>41989</v>
          </cell>
          <cell r="U2623">
            <v>0</v>
          </cell>
          <cell r="Z2623">
            <v>1</v>
          </cell>
        </row>
        <row r="2624">
          <cell r="D2624">
            <v>41989</v>
          </cell>
          <cell r="U2624">
            <v>2</v>
          </cell>
          <cell r="Z2624">
            <v>0</v>
          </cell>
        </row>
        <row r="2625">
          <cell r="D2625">
            <v>41989</v>
          </cell>
          <cell r="U2625">
            <v>1</v>
          </cell>
          <cell r="Z2625">
            <v>0</v>
          </cell>
        </row>
        <row r="2626">
          <cell r="D2626">
            <v>41989</v>
          </cell>
          <cell r="U2626">
            <v>1</v>
          </cell>
          <cell r="Z2626">
            <v>0</v>
          </cell>
        </row>
        <row r="2627">
          <cell r="D2627">
            <v>41989</v>
          </cell>
          <cell r="U2627">
            <v>0</v>
          </cell>
          <cell r="Z2627">
            <v>1</v>
          </cell>
        </row>
        <row r="2628">
          <cell r="D2628">
            <v>41989</v>
          </cell>
          <cell r="U2628">
            <v>0</v>
          </cell>
          <cell r="Z2628">
            <v>1</v>
          </cell>
        </row>
        <row r="2629">
          <cell r="D2629">
            <v>41989</v>
          </cell>
          <cell r="U2629">
            <v>2</v>
          </cell>
          <cell r="Z2629">
            <v>0</v>
          </cell>
        </row>
        <row r="2630">
          <cell r="D2630">
            <v>41989</v>
          </cell>
          <cell r="U2630">
            <v>0</v>
          </cell>
          <cell r="Z2630">
            <v>1</v>
          </cell>
        </row>
        <row r="2631">
          <cell r="D2631">
            <v>41989</v>
          </cell>
          <cell r="U2631">
            <v>0</v>
          </cell>
          <cell r="Z2631">
            <v>1</v>
          </cell>
        </row>
        <row r="2632">
          <cell r="D2632">
            <v>41989</v>
          </cell>
          <cell r="U2632">
            <v>2</v>
          </cell>
          <cell r="Z2632">
            <v>0</v>
          </cell>
        </row>
        <row r="2633">
          <cell r="D2633">
            <v>41989</v>
          </cell>
          <cell r="U2633">
            <v>1</v>
          </cell>
          <cell r="Z2633">
            <v>0</v>
          </cell>
        </row>
        <row r="2634">
          <cell r="D2634">
            <v>41989</v>
          </cell>
          <cell r="U2634">
            <v>0</v>
          </cell>
          <cell r="Z2634">
            <v>1</v>
          </cell>
        </row>
        <row r="2635">
          <cell r="D2635">
            <v>41989</v>
          </cell>
          <cell r="U2635">
            <v>1</v>
          </cell>
          <cell r="Z2635">
            <v>0</v>
          </cell>
        </row>
        <row r="2636">
          <cell r="D2636">
            <v>41989</v>
          </cell>
          <cell r="U2636">
            <v>0</v>
          </cell>
          <cell r="Z2636">
            <v>1</v>
          </cell>
        </row>
        <row r="2637">
          <cell r="D2637">
            <v>41989</v>
          </cell>
          <cell r="U2637">
            <v>2</v>
          </cell>
          <cell r="Z2637">
            <v>0</v>
          </cell>
        </row>
        <row r="2638">
          <cell r="D2638">
            <v>41989</v>
          </cell>
          <cell r="U2638">
            <v>1</v>
          </cell>
          <cell r="Z2638">
            <v>0</v>
          </cell>
        </row>
        <row r="2639">
          <cell r="D2639">
            <v>41989</v>
          </cell>
          <cell r="U2639">
            <v>0</v>
          </cell>
          <cell r="Z2639">
            <v>1</v>
          </cell>
        </row>
        <row r="2640">
          <cell r="D2640">
            <v>41989</v>
          </cell>
          <cell r="U2640">
            <v>0</v>
          </cell>
          <cell r="Z2640">
            <v>1</v>
          </cell>
        </row>
        <row r="2641">
          <cell r="D2641">
            <v>41989</v>
          </cell>
          <cell r="U2641">
            <v>0</v>
          </cell>
          <cell r="Z2641">
            <v>1</v>
          </cell>
        </row>
        <row r="2642">
          <cell r="D2642">
            <v>41989</v>
          </cell>
          <cell r="U2642">
            <v>0</v>
          </cell>
          <cell r="Z2642">
            <v>1</v>
          </cell>
        </row>
        <row r="2643">
          <cell r="D2643">
            <v>41989</v>
          </cell>
          <cell r="U2643">
            <v>0</v>
          </cell>
          <cell r="Z2643">
            <v>1</v>
          </cell>
        </row>
        <row r="2644">
          <cell r="D2644">
            <v>41989</v>
          </cell>
          <cell r="U2644">
            <v>0</v>
          </cell>
          <cell r="Z2644">
            <v>1</v>
          </cell>
        </row>
        <row r="2645">
          <cell r="D2645">
            <v>41989</v>
          </cell>
          <cell r="U2645">
            <v>3</v>
          </cell>
          <cell r="Z2645">
            <v>0</v>
          </cell>
        </row>
        <row r="2646">
          <cell r="D2646">
            <v>41989</v>
          </cell>
          <cell r="U2646">
            <v>0</v>
          </cell>
          <cell r="Z2646">
            <v>1</v>
          </cell>
        </row>
        <row r="2647">
          <cell r="D2647">
            <v>41989</v>
          </cell>
          <cell r="U2647">
            <v>0</v>
          </cell>
          <cell r="Z2647">
            <v>1</v>
          </cell>
        </row>
        <row r="2648">
          <cell r="D2648">
            <v>41989</v>
          </cell>
          <cell r="U2648">
            <v>0</v>
          </cell>
          <cell r="Z2648">
            <v>1</v>
          </cell>
        </row>
        <row r="2649">
          <cell r="D2649">
            <v>41989</v>
          </cell>
          <cell r="U2649">
            <v>0</v>
          </cell>
          <cell r="Z2649">
            <v>1</v>
          </cell>
        </row>
        <row r="2650">
          <cell r="D2650">
            <v>41989</v>
          </cell>
          <cell r="U2650">
            <v>0</v>
          </cell>
          <cell r="Z2650">
            <v>1</v>
          </cell>
        </row>
        <row r="2651">
          <cell r="D2651">
            <v>41989</v>
          </cell>
          <cell r="U2651">
            <v>3</v>
          </cell>
          <cell r="Z2651">
            <v>0</v>
          </cell>
        </row>
        <row r="2652">
          <cell r="D2652">
            <v>41989</v>
          </cell>
          <cell r="U2652">
            <v>0</v>
          </cell>
          <cell r="Z2652">
            <v>1</v>
          </cell>
        </row>
        <row r="2653">
          <cell r="D2653">
            <v>41989</v>
          </cell>
          <cell r="U2653">
            <v>0</v>
          </cell>
          <cell r="Z2653">
            <v>1</v>
          </cell>
        </row>
        <row r="2654">
          <cell r="D2654">
            <v>41989</v>
          </cell>
          <cell r="U2654">
            <v>0</v>
          </cell>
          <cell r="Z2654">
            <v>1</v>
          </cell>
        </row>
        <row r="2655">
          <cell r="D2655">
            <v>41989</v>
          </cell>
          <cell r="U2655">
            <v>2</v>
          </cell>
          <cell r="Z2655">
            <v>0</v>
          </cell>
        </row>
        <row r="2656">
          <cell r="D2656">
            <v>41989</v>
          </cell>
          <cell r="U2656">
            <v>0</v>
          </cell>
          <cell r="Z2656">
            <v>1</v>
          </cell>
        </row>
        <row r="2657">
          <cell r="D2657">
            <v>41989</v>
          </cell>
          <cell r="U2657">
            <v>0</v>
          </cell>
          <cell r="Z2657">
            <v>1</v>
          </cell>
        </row>
        <row r="2658">
          <cell r="D2658">
            <v>41989</v>
          </cell>
          <cell r="U2658">
            <v>0</v>
          </cell>
          <cell r="Z2658">
            <v>1</v>
          </cell>
        </row>
        <row r="2659">
          <cell r="D2659">
            <v>41989</v>
          </cell>
          <cell r="U2659">
            <v>1</v>
          </cell>
          <cell r="Z2659">
            <v>0</v>
          </cell>
        </row>
        <row r="2660">
          <cell r="D2660">
            <v>41989</v>
          </cell>
          <cell r="U2660">
            <v>0</v>
          </cell>
          <cell r="Z2660">
            <v>1</v>
          </cell>
        </row>
        <row r="2661">
          <cell r="D2661">
            <v>41989</v>
          </cell>
          <cell r="U2661">
            <v>0</v>
          </cell>
          <cell r="Z2661">
            <v>1</v>
          </cell>
        </row>
        <row r="2662">
          <cell r="D2662">
            <v>41989</v>
          </cell>
          <cell r="U2662">
            <v>0</v>
          </cell>
          <cell r="Z2662">
            <v>1</v>
          </cell>
        </row>
        <row r="2663">
          <cell r="D2663">
            <v>41989</v>
          </cell>
          <cell r="U2663">
            <v>0</v>
          </cell>
          <cell r="Z2663">
            <v>1</v>
          </cell>
        </row>
        <row r="2664">
          <cell r="D2664">
            <v>41989</v>
          </cell>
          <cell r="U2664">
            <v>1</v>
          </cell>
          <cell r="Z2664">
            <v>0</v>
          </cell>
        </row>
        <row r="2665">
          <cell r="D2665">
            <v>41989</v>
          </cell>
          <cell r="U2665">
            <v>1</v>
          </cell>
          <cell r="Z2665">
            <v>0</v>
          </cell>
        </row>
        <row r="2666">
          <cell r="D2666">
            <v>41989</v>
          </cell>
          <cell r="U2666">
            <v>0</v>
          </cell>
          <cell r="Z2666">
            <v>1</v>
          </cell>
        </row>
        <row r="2667">
          <cell r="D2667">
            <v>41989</v>
          </cell>
          <cell r="U2667">
            <v>0</v>
          </cell>
          <cell r="Z2667">
            <v>1</v>
          </cell>
        </row>
        <row r="2668">
          <cell r="D2668">
            <v>41989</v>
          </cell>
          <cell r="U2668">
            <v>2</v>
          </cell>
          <cell r="Z2668">
            <v>0</v>
          </cell>
        </row>
        <row r="2669">
          <cell r="D2669">
            <v>41989</v>
          </cell>
          <cell r="U2669">
            <v>0</v>
          </cell>
          <cell r="Z2669">
            <v>1</v>
          </cell>
        </row>
        <row r="2670">
          <cell r="D2670">
            <v>41989</v>
          </cell>
          <cell r="U2670">
            <v>0</v>
          </cell>
          <cell r="Z2670">
            <v>1</v>
          </cell>
        </row>
        <row r="2671">
          <cell r="D2671">
            <v>41989</v>
          </cell>
          <cell r="U2671">
            <v>0</v>
          </cell>
          <cell r="Z2671">
            <v>1</v>
          </cell>
        </row>
        <row r="2672">
          <cell r="D2672">
            <v>41989</v>
          </cell>
          <cell r="U2672">
            <v>0</v>
          </cell>
          <cell r="Z2672">
            <v>1</v>
          </cell>
        </row>
        <row r="2673">
          <cell r="D2673">
            <v>41989</v>
          </cell>
          <cell r="U2673">
            <v>0</v>
          </cell>
          <cell r="Z2673">
            <v>1</v>
          </cell>
        </row>
        <row r="2674">
          <cell r="D2674">
            <v>41989</v>
          </cell>
          <cell r="U2674">
            <v>2</v>
          </cell>
          <cell r="Z2674">
            <v>0</v>
          </cell>
        </row>
        <row r="2675">
          <cell r="D2675">
            <v>41989</v>
          </cell>
          <cell r="U2675">
            <v>0</v>
          </cell>
          <cell r="Z2675">
            <v>1</v>
          </cell>
        </row>
        <row r="2676">
          <cell r="D2676">
            <v>41989</v>
          </cell>
          <cell r="U2676">
            <v>0</v>
          </cell>
          <cell r="Z2676">
            <v>1</v>
          </cell>
        </row>
        <row r="2677">
          <cell r="D2677">
            <v>41989</v>
          </cell>
          <cell r="U2677">
            <v>0</v>
          </cell>
          <cell r="Z2677">
            <v>1</v>
          </cell>
        </row>
        <row r="2678">
          <cell r="D2678">
            <v>41989</v>
          </cell>
          <cell r="U2678">
            <v>0</v>
          </cell>
          <cell r="Z2678">
            <v>1</v>
          </cell>
        </row>
        <row r="2679">
          <cell r="D2679">
            <v>41989</v>
          </cell>
          <cell r="U2679">
            <v>0</v>
          </cell>
          <cell r="Z2679">
            <v>1</v>
          </cell>
        </row>
        <row r="2680">
          <cell r="D2680">
            <v>41989</v>
          </cell>
          <cell r="U2680">
            <v>3</v>
          </cell>
          <cell r="Z2680">
            <v>0</v>
          </cell>
        </row>
        <row r="2681">
          <cell r="D2681">
            <v>41989</v>
          </cell>
          <cell r="U2681">
            <v>3</v>
          </cell>
          <cell r="Z2681">
            <v>0</v>
          </cell>
        </row>
        <row r="2682">
          <cell r="D2682">
            <v>41989</v>
          </cell>
          <cell r="U2682">
            <v>2</v>
          </cell>
          <cell r="Z2682">
            <v>0</v>
          </cell>
        </row>
        <row r="2683">
          <cell r="D2683">
            <v>41989</v>
          </cell>
          <cell r="U2683">
            <v>1</v>
          </cell>
          <cell r="Z2683">
            <v>0</v>
          </cell>
        </row>
        <row r="2684">
          <cell r="D2684">
            <v>41989</v>
          </cell>
          <cell r="U2684">
            <v>3</v>
          </cell>
          <cell r="Z2684">
            <v>0</v>
          </cell>
        </row>
        <row r="2685">
          <cell r="D2685">
            <v>41989</v>
          </cell>
          <cell r="U2685">
            <v>0</v>
          </cell>
          <cell r="Z2685">
            <v>1</v>
          </cell>
        </row>
        <row r="2686">
          <cell r="D2686">
            <v>41989</v>
          </cell>
          <cell r="U2686">
            <v>0</v>
          </cell>
          <cell r="Z2686">
            <v>1</v>
          </cell>
        </row>
        <row r="2687">
          <cell r="D2687">
            <v>41989</v>
          </cell>
          <cell r="U2687">
            <v>2</v>
          </cell>
          <cell r="Z2687">
            <v>0</v>
          </cell>
        </row>
        <row r="2688">
          <cell r="D2688">
            <v>41989</v>
          </cell>
          <cell r="U2688">
            <v>0</v>
          </cell>
          <cell r="Z2688">
            <v>1</v>
          </cell>
        </row>
        <row r="2689">
          <cell r="D2689">
            <v>41989</v>
          </cell>
          <cell r="U2689">
            <v>2</v>
          </cell>
          <cell r="Z2689">
            <v>0</v>
          </cell>
        </row>
        <row r="2690">
          <cell r="D2690">
            <v>41989</v>
          </cell>
          <cell r="U2690">
            <v>0</v>
          </cell>
          <cell r="Z2690">
            <v>1</v>
          </cell>
        </row>
        <row r="2691">
          <cell r="D2691">
            <v>41989</v>
          </cell>
          <cell r="U2691">
            <v>0</v>
          </cell>
          <cell r="Z2691">
            <v>1</v>
          </cell>
        </row>
        <row r="2692">
          <cell r="D2692">
            <v>41989</v>
          </cell>
          <cell r="U2692">
            <v>3</v>
          </cell>
          <cell r="Z2692">
            <v>0</v>
          </cell>
        </row>
        <row r="2693">
          <cell r="D2693">
            <v>41989</v>
          </cell>
          <cell r="U2693">
            <v>0</v>
          </cell>
          <cell r="Z2693">
            <v>1</v>
          </cell>
        </row>
        <row r="2694">
          <cell r="D2694">
            <v>41989</v>
          </cell>
          <cell r="U2694">
            <v>0</v>
          </cell>
          <cell r="Z2694">
            <v>1</v>
          </cell>
        </row>
        <row r="2695">
          <cell r="D2695">
            <v>41989</v>
          </cell>
          <cell r="U2695">
            <v>0</v>
          </cell>
          <cell r="Z2695">
            <v>1</v>
          </cell>
        </row>
        <row r="2696">
          <cell r="D2696">
            <v>41989</v>
          </cell>
          <cell r="U2696">
            <v>2</v>
          </cell>
          <cell r="Z2696">
            <v>0</v>
          </cell>
        </row>
        <row r="2697">
          <cell r="D2697">
            <v>41989</v>
          </cell>
          <cell r="U2697">
            <v>2</v>
          </cell>
          <cell r="Z2697">
            <v>0</v>
          </cell>
        </row>
        <row r="2698">
          <cell r="D2698">
            <v>41989</v>
          </cell>
          <cell r="U2698">
            <v>0</v>
          </cell>
          <cell r="Z2698">
            <v>1</v>
          </cell>
        </row>
        <row r="2699">
          <cell r="D2699">
            <v>41989</v>
          </cell>
          <cell r="U2699">
            <v>0</v>
          </cell>
          <cell r="Z2699">
            <v>1</v>
          </cell>
        </row>
        <row r="2700">
          <cell r="D2700">
            <v>41989</v>
          </cell>
          <cell r="U2700">
            <v>1</v>
          </cell>
          <cell r="Z2700">
            <v>0</v>
          </cell>
        </row>
        <row r="2701">
          <cell r="D2701">
            <v>41989</v>
          </cell>
          <cell r="U2701">
            <v>0</v>
          </cell>
          <cell r="Z2701">
            <v>1</v>
          </cell>
        </row>
        <row r="2702">
          <cell r="D2702">
            <v>41989</v>
          </cell>
          <cell r="U2702">
            <v>0</v>
          </cell>
          <cell r="Z2702">
            <v>1</v>
          </cell>
        </row>
        <row r="2703">
          <cell r="D2703">
            <v>41989</v>
          </cell>
          <cell r="U2703">
            <v>1</v>
          </cell>
          <cell r="Z2703">
            <v>0</v>
          </cell>
        </row>
        <row r="2704">
          <cell r="D2704">
            <v>41989</v>
          </cell>
          <cell r="U2704">
            <v>2</v>
          </cell>
          <cell r="Z2704">
            <v>0</v>
          </cell>
        </row>
        <row r="2705">
          <cell r="D2705">
            <v>41989</v>
          </cell>
          <cell r="U2705">
            <v>2</v>
          </cell>
          <cell r="Z2705">
            <v>0</v>
          </cell>
        </row>
        <row r="2706">
          <cell r="D2706">
            <v>41989</v>
          </cell>
          <cell r="U2706">
            <v>2</v>
          </cell>
          <cell r="Z2706">
            <v>0</v>
          </cell>
        </row>
        <row r="2707">
          <cell r="D2707">
            <v>41989</v>
          </cell>
          <cell r="U2707">
            <v>3</v>
          </cell>
          <cell r="Z2707">
            <v>0</v>
          </cell>
        </row>
        <row r="2708">
          <cell r="D2708">
            <v>41989</v>
          </cell>
          <cell r="U2708">
            <v>0</v>
          </cell>
          <cell r="Z2708">
            <v>1</v>
          </cell>
        </row>
        <row r="2709">
          <cell r="D2709">
            <v>41989</v>
          </cell>
          <cell r="U2709">
            <v>0</v>
          </cell>
          <cell r="Z2709">
            <v>1</v>
          </cell>
        </row>
        <row r="2710">
          <cell r="D2710">
            <v>41989</v>
          </cell>
          <cell r="U2710">
            <v>0</v>
          </cell>
          <cell r="Z2710">
            <v>1</v>
          </cell>
        </row>
        <row r="2711">
          <cell r="D2711">
            <v>41989</v>
          </cell>
          <cell r="U2711">
            <v>0</v>
          </cell>
          <cell r="Z2711">
            <v>1</v>
          </cell>
        </row>
        <row r="2712">
          <cell r="D2712">
            <v>41989</v>
          </cell>
          <cell r="U2712">
            <v>0</v>
          </cell>
          <cell r="Z2712">
            <v>1</v>
          </cell>
        </row>
        <row r="2713">
          <cell r="D2713">
            <v>41989</v>
          </cell>
          <cell r="U2713">
            <v>2</v>
          </cell>
          <cell r="Z2713">
            <v>0</v>
          </cell>
        </row>
        <row r="2714">
          <cell r="D2714">
            <v>41989</v>
          </cell>
          <cell r="U2714">
            <v>0</v>
          </cell>
          <cell r="Z2714">
            <v>1</v>
          </cell>
        </row>
        <row r="2715">
          <cell r="D2715">
            <v>41989</v>
          </cell>
          <cell r="U2715">
            <v>0</v>
          </cell>
          <cell r="Z2715">
            <v>1</v>
          </cell>
        </row>
        <row r="2716">
          <cell r="D2716">
            <v>41989</v>
          </cell>
          <cell r="U2716">
            <v>1</v>
          </cell>
          <cell r="Z2716">
            <v>0</v>
          </cell>
        </row>
        <row r="2717">
          <cell r="D2717">
            <v>41989</v>
          </cell>
          <cell r="U2717">
            <v>0</v>
          </cell>
          <cell r="Z2717">
            <v>1</v>
          </cell>
        </row>
        <row r="2718">
          <cell r="D2718">
            <v>41989</v>
          </cell>
          <cell r="U2718">
            <v>0</v>
          </cell>
          <cell r="Z2718">
            <v>1</v>
          </cell>
        </row>
        <row r="2719">
          <cell r="D2719">
            <v>41989</v>
          </cell>
          <cell r="U2719">
            <v>2</v>
          </cell>
          <cell r="Z2719">
            <v>0</v>
          </cell>
        </row>
        <row r="2720">
          <cell r="D2720">
            <v>41989</v>
          </cell>
          <cell r="U2720">
            <v>0</v>
          </cell>
          <cell r="Z2720">
            <v>1</v>
          </cell>
        </row>
        <row r="2721">
          <cell r="D2721">
            <v>41989</v>
          </cell>
          <cell r="U2721">
            <v>0</v>
          </cell>
          <cell r="Z2721">
            <v>1</v>
          </cell>
        </row>
        <row r="2722">
          <cell r="D2722">
            <v>41989</v>
          </cell>
          <cell r="U2722">
            <v>0</v>
          </cell>
          <cell r="Z2722">
            <v>1</v>
          </cell>
        </row>
        <row r="2723">
          <cell r="D2723">
            <v>41989</v>
          </cell>
          <cell r="U2723">
            <v>2</v>
          </cell>
          <cell r="Z2723">
            <v>0</v>
          </cell>
        </row>
        <row r="2724">
          <cell r="D2724">
            <v>41989</v>
          </cell>
          <cell r="U2724">
            <v>2</v>
          </cell>
          <cell r="Z2724">
            <v>0</v>
          </cell>
        </row>
        <row r="2725">
          <cell r="D2725">
            <v>41989</v>
          </cell>
          <cell r="U2725">
            <v>0</v>
          </cell>
          <cell r="Z2725">
            <v>1</v>
          </cell>
        </row>
        <row r="2726">
          <cell r="D2726">
            <v>41989</v>
          </cell>
          <cell r="U2726">
            <v>0</v>
          </cell>
          <cell r="Z2726">
            <v>1</v>
          </cell>
        </row>
        <row r="2727">
          <cell r="D2727">
            <v>41990</v>
          </cell>
          <cell r="U2727">
            <v>1</v>
          </cell>
          <cell r="Z2727">
            <v>0</v>
          </cell>
        </row>
        <row r="2728">
          <cell r="D2728">
            <v>41990</v>
          </cell>
          <cell r="U2728">
            <v>3</v>
          </cell>
          <cell r="Z2728">
            <v>0</v>
          </cell>
        </row>
        <row r="2729">
          <cell r="D2729">
            <v>41990</v>
          </cell>
          <cell r="U2729">
            <v>0</v>
          </cell>
          <cell r="Z2729">
            <v>1</v>
          </cell>
        </row>
        <row r="2730">
          <cell r="D2730">
            <v>41990</v>
          </cell>
          <cell r="U2730">
            <v>0</v>
          </cell>
          <cell r="Z2730">
            <v>1</v>
          </cell>
        </row>
        <row r="2731">
          <cell r="D2731">
            <v>41990</v>
          </cell>
          <cell r="U2731">
            <v>0</v>
          </cell>
          <cell r="Z2731">
            <v>1</v>
          </cell>
        </row>
        <row r="2732">
          <cell r="D2732">
            <v>41990</v>
          </cell>
          <cell r="U2732">
            <v>3</v>
          </cell>
          <cell r="Z2732">
            <v>0</v>
          </cell>
        </row>
        <row r="2733">
          <cell r="D2733">
            <v>41990</v>
          </cell>
          <cell r="U2733">
            <v>0</v>
          </cell>
          <cell r="Z2733">
            <v>1</v>
          </cell>
        </row>
        <row r="2734">
          <cell r="D2734">
            <v>41990</v>
          </cell>
          <cell r="U2734">
            <v>3</v>
          </cell>
          <cell r="Z2734">
            <v>0</v>
          </cell>
        </row>
        <row r="2735">
          <cell r="D2735">
            <v>41990</v>
          </cell>
          <cell r="U2735">
            <v>0</v>
          </cell>
          <cell r="Z2735">
            <v>1</v>
          </cell>
        </row>
        <row r="2736">
          <cell r="D2736">
            <v>41990</v>
          </cell>
          <cell r="U2736">
            <v>2</v>
          </cell>
          <cell r="Z2736">
            <v>0</v>
          </cell>
        </row>
        <row r="2737">
          <cell r="D2737">
            <v>41990</v>
          </cell>
          <cell r="U2737">
            <v>2</v>
          </cell>
          <cell r="Z2737">
            <v>0</v>
          </cell>
        </row>
        <row r="2738">
          <cell r="D2738">
            <v>41990</v>
          </cell>
          <cell r="U2738">
            <v>0</v>
          </cell>
          <cell r="Z2738">
            <v>1</v>
          </cell>
        </row>
        <row r="2739">
          <cell r="D2739">
            <v>41990</v>
          </cell>
          <cell r="U2739">
            <v>1</v>
          </cell>
          <cell r="Z2739">
            <v>0</v>
          </cell>
        </row>
        <row r="2740">
          <cell r="D2740">
            <v>41990</v>
          </cell>
          <cell r="U2740">
            <v>2</v>
          </cell>
          <cell r="Z2740">
            <v>0</v>
          </cell>
        </row>
        <row r="2741">
          <cell r="D2741">
            <v>41990</v>
          </cell>
          <cell r="U2741">
            <v>0</v>
          </cell>
          <cell r="Z2741">
            <v>1</v>
          </cell>
        </row>
        <row r="2742">
          <cell r="D2742">
            <v>41990</v>
          </cell>
          <cell r="U2742">
            <v>3</v>
          </cell>
          <cell r="Z2742">
            <v>0</v>
          </cell>
        </row>
        <row r="2743">
          <cell r="D2743">
            <v>41990</v>
          </cell>
          <cell r="U2743">
            <v>0</v>
          </cell>
          <cell r="Z2743">
            <v>1</v>
          </cell>
        </row>
        <row r="2744">
          <cell r="D2744">
            <v>41990</v>
          </cell>
          <cell r="U2744">
            <v>3</v>
          </cell>
          <cell r="Z2744">
            <v>0</v>
          </cell>
        </row>
        <row r="2745">
          <cell r="D2745">
            <v>41990</v>
          </cell>
          <cell r="U2745">
            <v>2</v>
          </cell>
          <cell r="Z2745">
            <v>0</v>
          </cell>
        </row>
        <row r="2746">
          <cell r="D2746">
            <v>41990</v>
          </cell>
          <cell r="U2746">
            <v>0</v>
          </cell>
          <cell r="Z2746">
            <v>1</v>
          </cell>
        </row>
        <row r="2747">
          <cell r="D2747">
            <v>41990</v>
          </cell>
          <cell r="U2747">
            <v>3</v>
          </cell>
          <cell r="Z2747">
            <v>0</v>
          </cell>
        </row>
        <row r="2748">
          <cell r="D2748">
            <v>41990</v>
          </cell>
          <cell r="U2748">
            <v>0</v>
          </cell>
          <cell r="Z2748">
            <v>1</v>
          </cell>
        </row>
        <row r="2749">
          <cell r="D2749">
            <v>41990</v>
          </cell>
          <cell r="U2749">
            <v>0</v>
          </cell>
          <cell r="Z2749">
            <v>1</v>
          </cell>
        </row>
        <row r="2750">
          <cell r="D2750">
            <v>41990</v>
          </cell>
          <cell r="U2750">
            <v>0</v>
          </cell>
          <cell r="Z2750">
            <v>1</v>
          </cell>
        </row>
        <row r="2751">
          <cell r="D2751">
            <v>41990</v>
          </cell>
          <cell r="U2751">
            <v>0</v>
          </cell>
          <cell r="Z2751">
            <v>1</v>
          </cell>
        </row>
        <row r="2752">
          <cell r="D2752">
            <v>41990</v>
          </cell>
          <cell r="U2752">
            <v>0</v>
          </cell>
          <cell r="Z2752">
            <v>1</v>
          </cell>
        </row>
        <row r="2753">
          <cell r="D2753">
            <v>41990</v>
          </cell>
          <cell r="U2753">
            <v>3</v>
          </cell>
          <cell r="Z2753">
            <v>0</v>
          </cell>
        </row>
        <row r="2754">
          <cell r="D2754">
            <v>41990</v>
          </cell>
          <cell r="U2754">
            <v>0</v>
          </cell>
          <cell r="Z2754">
            <v>1</v>
          </cell>
        </row>
        <row r="2755">
          <cell r="D2755">
            <v>41990</v>
          </cell>
          <cell r="U2755">
            <v>1</v>
          </cell>
          <cell r="Z2755">
            <v>0</v>
          </cell>
        </row>
        <row r="2756">
          <cell r="D2756">
            <v>41990</v>
          </cell>
          <cell r="U2756">
            <v>0</v>
          </cell>
          <cell r="Z2756">
            <v>1</v>
          </cell>
        </row>
        <row r="2757">
          <cell r="D2757">
            <v>41990</v>
          </cell>
          <cell r="U2757">
            <v>0</v>
          </cell>
          <cell r="Z2757">
            <v>1</v>
          </cell>
        </row>
        <row r="2758">
          <cell r="D2758">
            <v>41990</v>
          </cell>
          <cell r="U2758">
            <v>0</v>
          </cell>
          <cell r="Z2758">
            <v>1</v>
          </cell>
        </row>
        <row r="2759">
          <cell r="D2759">
            <v>41990</v>
          </cell>
          <cell r="U2759">
            <v>0</v>
          </cell>
          <cell r="Z2759">
            <v>1</v>
          </cell>
        </row>
        <row r="2760">
          <cell r="D2760">
            <v>41990</v>
          </cell>
          <cell r="U2760">
            <v>1</v>
          </cell>
          <cell r="Z2760">
            <v>0</v>
          </cell>
        </row>
        <row r="2761">
          <cell r="D2761">
            <v>41990</v>
          </cell>
          <cell r="U2761">
            <v>0</v>
          </cell>
          <cell r="Z2761">
            <v>1</v>
          </cell>
        </row>
        <row r="2762">
          <cell r="D2762">
            <v>41990</v>
          </cell>
          <cell r="U2762">
            <v>2</v>
          </cell>
          <cell r="Z2762">
            <v>0</v>
          </cell>
        </row>
        <row r="2763">
          <cell r="D2763">
            <v>41990</v>
          </cell>
          <cell r="U2763">
            <v>0</v>
          </cell>
          <cell r="Z2763">
            <v>1</v>
          </cell>
        </row>
        <row r="2764">
          <cell r="D2764">
            <v>41990</v>
          </cell>
          <cell r="U2764">
            <v>0</v>
          </cell>
          <cell r="Z2764">
            <v>1</v>
          </cell>
        </row>
        <row r="2765">
          <cell r="D2765">
            <v>41990</v>
          </cell>
          <cell r="U2765">
            <v>0</v>
          </cell>
          <cell r="Z2765">
            <v>1</v>
          </cell>
        </row>
        <row r="2766">
          <cell r="D2766">
            <v>41990</v>
          </cell>
          <cell r="U2766">
            <v>0</v>
          </cell>
          <cell r="Z2766">
            <v>1</v>
          </cell>
        </row>
        <row r="2767">
          <cell r="D2767">
            <v>41990</v>
          </cell>
          <cell r="U2767">
            <v>0</v>
          </cell>
          <cell r="Z2767">
            <v>1</v>
          </cell>
        </row>
        <row r="2768">
          <cell r="D2768">
            <v>41990</v>
          </cell>
          <cell r="U2768">
            <v>3</v>
          </cell>
          <cell r="Z2768">
            <v>0</v>
          </cell>
        </row>
        <row r="2769">
          <cell r="D2769">
            <v>41990</v>
          </cell>
          <cell r="U2769">
            <v>1</v>
          </cell>
          <cell r="Z2769">
            <v>0</v>
          </cell>
        </row>
        <row r="2770">
          <cell r="D2770">
            <v>41990</v>
          </cell>
          <cell r="U2770">
            <v>0</v>
          </cell>
          <cell r="Z2770">
            <v>1</v>
          </cell>
        </row>
        <row r="2771">
          <cell r="D2771">
            <v>41990</v>
          </cell>
          <cell r="U2771">
            <v>0</v>
          </cell>
          <cell r="Z2771">
            <v>1</v>
          </cell>
        </row>
        <row r="2772">
          <cell r="D2772">
            <v>41990</v>
          </cell>
          <cell r="U2772">
            <v>0</v>
          </cell>
          <cell r="Z2772">
            <v>1</v>
          </cell>
        </row>
        <row r="2773">
          <cell r="D2773">
            <v>41990</v>
          </cell>
          <cell r="U2773">
            <v>0</v>
          </cell>
          <cell r="Z2773">
            <v>1</v>
          </cell>
        </row>
        <row r="2774">
          <cell r="D2774">
            <v>41990</v>
          </cell>
          <cell r="U2774">
            <v>0</v>
          </cell>
          <cell r="Z2774">
            <v>1</v>
          </cell>
        </row>
        <row r="2775">
          <cell r="D2775">
            <v>41990</v>
          </cell>
          <cell r="U2775">
            <v>0</v>
          </cell>
          <cell r="Z2775">
            <v>1</v>
          </cell>
        </row>
        <row r="2776">
          <cell r="D2776">
            <v>41990</v>
          </cell>
          <cell r="U2776">
            <v>0</v>
          </cell>
          <cell r="Z2776">
            <v>1</v>
          </cell>
        </row>
        <row r="2777">
          <cell r="D2777">
            <v>41990</v>
          </cell>
          <cell r="U2777">
            <v>0</v>
          </cell>
          <cell r="Z2777">
            <v>1</v>
          </cell>
        </row>
        <row r="2778">
          <cell r="D2778">
            <v>41990</v>
          </cell>
          <cell r="U2778">
            <v>0</v>
          </cell>
          <cell r="Z2778">
            <v>1</v>
          </cell>
        </row>
        <row r="2779">
          <cell r="D2779">
            <v>41990</v>
          </cell>
          <cell r="U2779">
            <v>0</v>
          </cell>
          <cell r="Z2779">
            <v>1</v>
          </cell>
        </row>
        <row r="2780">
          <cell r="D2780">
            <v>41990</v>
          </cell>
          <cell r="U2780">
            <v>0</v>
          </cell>
          <cell r="Z2780">
            <v>1</v>
          </cell>
        </row>
        <row r="2781">
          <cell r="D2781">
            <v>41990</v>
          </cell>
          <cell r="U2781">
            <v>1</v>
          </cell>
          <cell r="Z2781">
            <v>0</v>
          </cell>
        </row>
        <row r="2782">
          <cell r="D2782">
            <v>41990</v>
          </cell>
          <cell r="U2782">
            <v>0</v>
          </cell>
          <cell r="Z2782">
            <v>1</v>
          </cell>
        </row>
        <row r="2783">
          <cell r="D2783">
            <v>41990</v>
          </cell>
          <cell r="U2783">
            <v>0</v>
          </cell>
          <cell r="Z2783">
            <v>1</v>
          </cell>
        </row>
        <row r="2784">
          <cell r="D2784">
            <v>41990</v>
          </cell>
          <cell r="U2784">
            <v>0</v>
          </cell>
          <cell r="Z2784">
            <v>1</v>
          </cell>
        </row>
        <row r="2785">
          <cell r="D2785">
            <v>41990</v>
          </cell>
          <cell r="U2785">
            <v>0</v>
          </cell>
          <cell r="Z2785">
            <v>1</v>
          </cell>
        </row>
        <row r="2786">
          <cell r="D2786">
            <v>41990</v>
          </cell>
          <cell r="U2786">
            <v>0</v>
          </cell>
          <cell r="Z2786">
            <v>1</v>
          </cell>
        </row>
        <row r="2787">
          <cell r="D2787">
            <v>41990</v>
          </cell>
          <cell r="U2787">
            <v>0</v>
          </cell>
          <cell r="Z2787">
            <v>1</v>
          </cell>
        </row>
        <row r="2788">
          <cell r="D2788">
            <v>41990</v>
          </cell>
          <cell r="U2788">
            <v>0</v>
          </cell>
          <cell r="Z2788">
            <v>1</v>
          </cell>
        </row>
        <row r="2789">
          <cell r="D2789">
            <v>41990</v>
          </cell>
          <cell r="U2789">
            <v>0</v>
          </cell>
          <cell r="Z2789">
            <v>1</v>
          </cell>
        </row>
        <row r="2790">
          <cell r="D2790">
            <v>41990</v>
          </cell>
          <cell r="U2790">
            <v>0</v>
          </cell>
          <cell r="Z2790">
            <v>1</v>
          </cell>
        </row>
        <row r="2791">
          <cell r="D2791">
            <v>41990</v>
          </cell>
          <cell r="U2791">
            <v>0</v>
          </cell>
          <cell r="Z2791">
            <v>1</v>
          </cell>
        </row>
        <row r="2792">
          <cell r="D2792">
            <v>41990</v>
          </cell>
          <cell r="U2792">
            <v>2</v>
          </cell>
          <cell r="Z2792">
            <v>0</v>
          </cell>
        </row>
        <row r="2793">
          <cell r="D2793">
            <v>41990</v>
          </cell>
          <cell r="U2793">
            <v>0</v>
          </cell>
          <cell r="Z2793">
            <v>1</v>
          </cell>
        </row>
        <row r="2794">
          <cell r="D2794">
            <v>41990</v>
          </cell>
          <cell r="U2794">
            <v>0</v>
          </cell>
          <cell r="Z2794">
            <v>1</v>
          </cell>
        </row>
        <row r="2795">
          <cell r="D2795">
            <v>41990</v>
          </cell>
          <cell r="U2795">
            <v>0</v>
          </cell>
          <cell r="Z2795">
            <v>1</v>
          </cell>
        </row>
        <row r="2796">
          <cell r="D2796">
            <v>41990</v>
          </cell>
          <cell r="U2796">
            <v>0</v>
          </cell>
          <cell r="Z2796">
            <v>1</v>
          </cell>
        </row>
        <row r="2797">
          <cell r="D2797">
            <v>41990</v>
          </cell>
          <cell r="U2797">
            <v>0</v>
          </cell>
          <cell r="Z2797">
            <v>1</v>
          </cell>
        </row>
        <row r="2798">
          <cell r="D2798">
            <v>41990</v>
          </cell>
          <cell r="U2798">
            <v>0</v>
          </cell>
          <cell r="Z2798">
            <v>1</v>
          </cell>
        </row>
        <row r="2799">
          <cell r="D2799">
            <v>41990</v>
          </cell>
          <cell r="U2799">
            <v>0</v>
          </cell>
          <cell r="Z2799">
            <v>1</v>
          </cell>
        </row>
        <row r="2800">
          <cell r="D2800">
            <v>41990</v>
          </cell>
          <cell r="U2800">
            <v>0</v>
          </cell>
          <cell r="Z2800">
            <v>1</v>
          </cell>
        </row>
        <row r="2801">
          <cell r="D2801">
            <v>41990</v>
          </cell>
          <cell r="U2801">
            <v>0</v>
          </cell>
          <cell r="Z2801">
            <v>1</v>
          </cell>
        </row>
        <row r="2802">
          <cell r="D2802">
            <v>41990</v>
          </cell>
          <cell r="U2802">
            <v>1</v>
          </cell>
          <cell r="Z2802">
            <v>0</v>
          </cell>
        </row>
        <row r="2803">
          <cell r="D2803">
            <v>41990</v>
          </cell>
          <cell r="U2803">
            <v>3</v>
          </cell>
          <cell r="Z2803">
            <v>0</v>
          </cell>
        </row>
        <row r="2804">
          <cell r="D2804">
            <v>41990</v>
          </cell>
          <cell r="U2804">
            <v>0</v>
          </cell>
          <cell r="Z2804">
            <v>1</v>
          </cell>
        </row>
        <row r="2805">
          <cell r="D2805">
            <v>41990</v>
          </cell>
          <cell r="U2805">
            <v>0</v>
          </cell>
          <cell r="Z2805">
            <v>1</v>
          </cell>
        </row>
        <row r="2806">
          <cell r="D2806">
            <v>41990</v>
          </cell>
          <cell r="U2806">
            <v>0</v>
          </cell>
          <cell r="Z2806">
            <v>1</v>
          </cell>
        </row>
        <row r="2807">
          <cell r="D2807">
            <v>41990</v>
          </cell>
          <cell r="U2807">
            <v>0</v>
          </cell>
          <cell r="Z2807">
            <v>1</v>
          </cell>
        </row>
        <row r="2808">
          <cell r="D2808">
            <v>41990</v>
          </cell>
          <cell r="U2808">
            <v>0</v>
          </cell>
          <cell r="Z2808">
            <v>1</v>
          </cell>
        </row>
        <row r="2809">
          <cell r="D2809">
            <v>41990</v>
          </cell>
          <cell r="U2809">
            <v>0</v>
          </cell>
          <cell r="Z2809">
            <v>1</v>
          </cell>
        </row>
        <row r="2810">
          <cell r="D2810">
            <v>41990</v>
          </cell>
          <cell r="U2810">
            <v>0</v>
          </cell>
          <cell r="Z2810">
            <v>1</v>
          </cell>
        </row>
        <row r="2811">
          <cell r="D2811">
            <v>41990</v>
          </cell>
          <cell r="U2811">
            <v>0</v>
          </cell>
          <cell r="Z2811">
            <v>1</v>
          </cell>
        </row>
        <row r="2812">
          <cell r="D2812">
            <v>41990</v>
          </cell>
          <cell r="U2812">
            <v>0</v>
          </cell>
          <cell r="Z2812">
            <v>1</v>
          </cell>
        </row>
        <row r="2813">
          <cell r="D2813">
            <v>41990</v>
          </cell>
          <cell r="U2813">
            <v>0</v>
          </cell>
          <cell r="Z2813">
            <v>1</v>
          </cell>
        </row>
        <row r="2814">
          <cell r="D2814">
            <v>41990</v>
          </cell>
          <cell r="U2814">
            <v>0</v>
          </cell>
          <cell r="Z2814">
            <v>1</v>
          </cell>
        </row>
        <row r="2815">
          <cell r="D2815">
            <v>41990</v>
          </cell>
          <cell r="U2815">
            <v>0</v>
          </cell>
          <cell r="Z2815">
            <v>1</v>
          </cell>
        </row>
        <row r="2816">
          <cell r="D2816">
            <v>41990</v>
          </cell>
          <cell r="U2816">
            <v>0</v>
          </cell>
          <cell r="Z2816">
            <v>1</v>
          </cell>
        </row>
        <row r="2817">
          <cell r="D2817">
            <v>41990</v>
          </cell>
          <cell r="U2817">
            <v>0</v>
          </cell>
          <cell r="Z2817">
            <v>1</v>
          </cell>
        </row>
        <row r="2818">
          <cell r="D2818">
            <v>41990</v>
          </cell>
          <cell r="U2818">
            <v>0</v>
          </cell>
          <cell r="Z2818">
            <v>1</v>
          </cell>
        </row>
        <row r="2819">
          <cell r="D2819">
            <v>41990</v>
          </cell>
          <cell r="U2819">
            <v>0</v>
          </cell>
          <cell r="Z2819">
            <v>1</v>
          </cell>
        </row>
        <row r="2820">
          <cell r="D2820">
            <v>41990</v>
          </cell>
          <cell r="U2820">
            <v>0</v>
          </cell>
          <cell r="Z2820">
            <v>1</v>
          </cell>
        </row>
        <row r="2821">
          <cell r="D2821">
            <v>41990</v>
          </cell>
          <cell r="U2821">
            <v>0</v>
          </cell>
          <cell r="Z2821">
            <v>1</v>
          </cell>
        </row>
        <row r="2822">
          <cell r="D2822">
            <v>41990</v>
          </cell>
          <cell r="U2822">
            <v>0</v>
          </cell>
          <cell r="Z2822">
            <v>1</v>
          </cell>
        </row>
        <row r="2823">
          <cell r="D2823">
            <v>41990</v>
          </cell>
          <cell r="U2823">
            <v>0</v>
          </cell>
          <cell r="Z2823">
            <v>1</v>
          </cell>
        </row>
        <row r="2824">
          <cell r="D2824">
            <v>41990</v>
          </cell>
          <cell r="U2824">
            <v>0</v>
          </cell>
          <cell r="Z2824">
            <v>1</v>
          </cell>
        </row>
        <row r="2825">
          <cell r="D2825">
            <v>41990</v>
          </cell>
          <cell r="U2825">
            <v>0</v>
          </cell>
          <cell r="Z2825">
            <v>1</v>
          </cell>
        </row>
        <row r="2826">
          <cell r="D2826">
            <v>41990</v>
          </cell>
          <cell r="U2826">
            <v>0</v>
          </cell>
          <cell r="Z2826">
            <v>1</v>
          </cell>
        </row>
        <row r="2827">
          <cell r="D2827">
            <v>41990</v>
          </cell>
          <cell r="U2827">
            <v>0</v>
          </cell>
          <cell r="Z2827">
            <v>1</v>
          </cell>
        </row>
        <row r="2828">
          <cell r="D2828">
            <v>41990</v>
          </cell>
          <cell r="U2828">
            <v>0</v>
          </cell>
          <cell r="Z2828">
            <v>1</v>
          </cell>
        </row>
        <row r="2829">
          <cell r="D2829">
            <v>41990</v>
          </cell>
          <cell r="U2829">
            <v>0</v>
          </cell>
          <cell r="Z2829">
            <v>1</v>
          </cell>
        </row>
        <row r="2830">
          <cell r="D2830">
            <v>41990</v>
          </cell>
          <cell r="U2830">
            <v>0</v>
          </cell>
          <cell r="Z2830">
            <v>1</v>
          </cell>
        </row>
        <row r="2831">
          <cell r="D2831">
            <v>41990</v>
          </cell>
          <cell r="U2831">
            <v>0</v>
          </cell>
          <cell r="Z2831">
            <v>1</v>
          </cell>
        </row>
        <row r="2832">
          <cell r="D2832">
            <v>41990</v>
          </cell>
          <cell r="U2832">
            <v>0</v>
          </cell>
          <cell r="Z2832">
            <v>1</v>
          </cell>
        </row>
        <row r="2833">
          <cell r="D2833">
            <v>41990</v>
          </cell>
          <cell r="U2833">
            <v>0</v>
          </cell>
          <cell r="Z2833">
            <v>1</v>
          </cell>
        </row>
        <row r="2834">
          <cell r="D2834">
            <v>41990</v>
          </cell>
          <cell r="U2834">
            <v>0</v>
          </cell>
          <cell r="Z2834">
            <v>1</v>
          </cell>
        </row>
        <row r="2835">
          <cell r="D2835">
            <v>41990</v>
          </cell>
          <cell r="U2835">
            <v>3</v>
          </cell>
          <cell r="Z2835">
            <v>0</v>
          </cell>
        </row>
        <row r="2836">
          <cell r="D2836">
            <v>41990</v>
          </cell>
          <cell r="U2836">
            <v>2</v>
          </cell>
          <cell r="Z2836">
            <v>0</v>
          </cell>
        </row>
        <row r="2837">
          <cell r="D2837">
            <v>41990</v>
          </cell>
          <cell r="U2837">
            <v>2</v>
          </cell>
          <cell r="Z2837">
            <v>0</v>
          </cell>
        </row>
        <row r="2838">
          <cell r="D2838">
            <v>41990</v>
          </cell>
          <cell r="U2838">
            <v>1</v>
          </cell>
          <cell r="Z2838">
            <v>0</v>
          </cell>
        </row>
        <row r="2839">
          <cell r="D2839">
            <v>41990</v>
          </cell>
          <cell r="U2839">
            <v>1</v>
          </cell>
          <cell r="Z2839">
            <v>0</v>
          </cell>
        </row>
        <row r="2840">
          <cell r="D2840">
            <v>41990</v>
          </cell>
          <cell r="U2840">
            <v>3</v>
          </cell>
          <cell r="Z2840">
            <v>0</v>
          </cell>
        </row>
        <row r="2841">
          <cell r="D2841">
            <v>41990</v>
          </cell>
          <cell r="U2841">
            <v>1</v>
          </cell>
          <cell r="Z2841">
            <v>0</v>
          </cell>
        </row>
        <row r="2842">
          <cell r="D2842">
            <v>41990</v>
          </cell>
          <cell r="U2842">
            <v>0</v>
          </cell>
          <cell r="Z2842">
            <v>1</v>
          </cell>
        </row>
        <row r="2843">
          <cell r="D2843">
            <v>41990</v>
          </cell>
          <cell r="U2843">
            <v>0</v>
          </cell>
          <cell r="Z2843">
            <v>1</v>
          </cell>
        </row>
        <row r="2844">
          <cell r="D2844">
            <v>41990</v>
          </cell>
          <cell r="U2844">
            <v>2</v>
          </cell>
          <cell r="Z2844">
            <v>0</v>
          </cell>
        </row>
        <row r="2845">
          <cell r="D2845">
            <v>41990</v>
          </cell>
          <cell r="U2845">
            <v>1</v>
          </cell>
          <cell r="Z2845">
            <v>0</v>
          </cell>
        </row>
        <row r="2846">
          <cell r="D2846">
            <v>41990</v>
          </cell>
          <cell r="U2846">
            <v>1</v>
          </cell>
          <cell r="Z2846">
            <v>0</v>
          </cell>
        </row>
        <row r="2847">
          <cell r="D2847">
            <v>41990</v>
          </cell>
          <cell r="U2847">
            <v>1</v>
          </cell>
          <cell r="Z2847">
            <v>0</v>
          </cell>
        </row>
        <row r="2848">
          <cell r="D2848">
            <v>41990</v>
          </cell>
          <cell r="U2848">
            <v>1</v>
          </cell>
          <cell r="Z2848">
            <v>0</v>
          </cell>
        </row>
        <row r="2849">
          <cell r="D2849">
            <v>41990</v>
          </cell>
          <cell r="U2849">
            <v>2</v>
          </cell>
          <cell r="Z2849">
            <v>0</v>
          </cell>
        </row>
        <row r="2850">
          <cell r="D2850">
            <v>41990</v>
          </cell>
          <cell r="U2850">
            <v>2</v>
          </cell>
          <cell r="Z2850">
            <v>0</v>
          </cell>
        </row>
        <row r="2851">
          <cell r="D2851">
            <v>41990</v>
          </cell>
          <cell r="U2851">
            <v>0</v>
          </cell>
          <cell r="Z2851">
            <v>1</v>
          </cell>
        </row>
        <row r="2852">
          <cell r="D2852">
            <v>41990</v>
          </cell>
          <cell r="U2852">
            <v>0</v>
          </cell>
          <cell r="Z2852">
            <v>1</v>
          </cell>
        </row>
        <row r="2853">
          <cell r="D2853">
            <v>41990</v>
          </cell>
          <cell r="U2853">
            <v>0</v>
          </cell>
          <cell r="Z2853">
            <v>1</v>
          </cell>
        </row>
        <row r="2854">
          <cell r="D2854">
            <v>41990</v>
          </cell>
          <cell r="U2854">
            <v>0</v>
          </cell>
          <cell r="Z2854">
            <v>1</v>
          </cell>
        </row>
        <row r="2855">
          <cell r="D2855">
            <v>41990</v>
          </cell>
          <cell r="U2855">
            <v>0</v>
          </cell>
          <cell r="Z2855">
            <v>1</v>
          </cell>
        </row>
        <row r="2856">
          <cell r="D2856">
            <v>41990</v>
          </cell>
          <cell r="U2856">
            <v>0</v>
          </cell>
          <cell r="Z2856">
            <v>1</v>
          </cell>
        </row>
        <row r="2857">
          <cell r="D2857">
            <v>41990</v>
          </cell>
          <cell r="U2857">
            <v>0</v>
          </cell>
          <cell r="Z2857">
            <v>1</v>
          </cell>
        </row>
        <row r="2858">
          <cell r="D2858">
            <v>41990</v>
          </cell>
          <cell r="U2858">
            <v>0</v>
          </cell>
          <cell r="Z2858">
            <v>1</v>
          </cell>
        </row>
        <row r="2859">
          <cell r="D2859">
            <v>41990</v>
          </cell>
          <cell r="U2859">
            <v>0</v>
          </cell>
          <cell r="Z2859">
            <v>1</v>
          </cell>
        </row>
        <row r="2860">
          <cell r="D2860">
            <v>41990</v>
          </cell>
          <cell r="U2860">
            <v>0</v>
          </cell>
          <cell r="Z2860">
            <v>1</v>
          </cell>
        </row>
        <row r="2861">
          <cell r="D2861">
            <v>41990</v>
          </cell>
          <cell r="U2861">
            <v>0</v>
          </cell>
          <cell r="Z2861">
            <v>1</v>
          </cell>
        </row>
        <row r="2862">
          <cell r="D2862">
            <v>41990</v>
          </cell>
          <cell r="U2862">
            <v>0</v>
          </cell>
          <cell r="Z2862">
            <v>1</v>
          </cell>
        </row>
        <row r="2863">
          <cell r="D2863">
            <v>41990</v>
          </cell>
          <cell r="U2863">
            <v>0</v>
          </cell>
          <cell r="Z2863">
            <v>1</v>
          </cell>
        </row>
        <row r="2864">
          <cell r="D2864">
            <v>41990</v>
          </cell>
          <cell r="U2864">
            <v>0</v>
          </cell>
          <cell r="Z2864">
            <v>1</v>
          </cell>
        </row>
        <row r="2865">
          <cell r="D2865">
            <v>41990</v>
          </cell>
          <cell r="U2865">
            <v>0</v>
          </cell>
          <cell r="Z2865">
            <v>1</v>
          </cell>
        </row>
        <row r="2866">
          <cell r="D2866">
            <v>41990</v>
          </cell>
          <cell r="U2866">
            <v>0</v>
          </cell>
          <cell r="Z2866">
            <v>1</v>
          </cell>
        </row>
        <row r="2867">
          <cell r="D2867">
            <v>41990</v>
          </cell>
          <cell r="U2867">
            <v>0</v>
          </cell>
          <cell r="Z2867">
            <v>1</v>
          </cell>
        </row>
        <row r="2868">
          <cell r="D2868">
            <v>41990</v>
          </cell>
          <cell r="U2868">
            <v>0</v>
          </cell>
          <cell r="Z2868">
            <v>1</v>
          </cell>
        </row>
        <row r="2869">
          <cell r="D2869">
            <v>41990</v>
          </cell>
          <cell r="U2869">
            <v>0</v>
          </cell>
          <cell r="Z2869">
            <v>1</v>
          </cell>
        </row>
        <row r="2870">
          <cell r="D2870">
            <v>41990</v>
          </cell>
          <cell r="U2870">
            <v>0</v>
          </cell>
          <cell r="Z2870">
            <v>1</v>
          </cell>
        </row>
        <row r="2871">
          <cell r="D2871">
            <v>41990</v>
          </cell>
          <cell r="U2871">
            <v>0</v>
          </cell>
          <cell r="Z2871">
            <v>1</v>
          </cell>
        </row>
        <row r="2872">
          <cell r="D2872">
            <v>41990</v>
          </cell>
          <cell r="U2872">
            <v>0</v>
          </cell>
          <cell r="Z2872">
            <v>1</v>
          </cell>
        </row>
        <row r="2873">
          <cell r="D2873">
            <v>41990</v>
          </cell>
          <cell r="U2873">
            <v>0</v>
          </cell>
          <cell r="Z2873">
            <v>1</v>
          </cell>
        </row>
        <row r="2874">
          <cell r="D2874">
            <v>41990</v>
          </cell>
          <cell r="U2874">
            <v>1</v>
          </cell>
          <cell r="Z2874">
            <v>0</v>
          </cell>
        </row>
        <row r="2875">
          <cell r="D2875">
            <v>41990</v>
          </cell>
          <cell r="U2875">
            <v>3</v>
          </cell>
          <cell r="Z2875">
            <v>0</v>
          </cell>
        </row>
        <row r="2876">
          <cell r="D2876">
            <v>41990</v>
          </cell>
          <cell r="U2876">
            <v>3</v>
          </cell>
          <cell r="Z2876">
            <v>0</v>
          </cell>
        </row>
        <row r="2877">
          <cell r="D2877">
            <v>41990</v>
          </cell>
          <cell r="U2877">
            <v>0</v>
          </cell>
          <cell r="Z2877">
            <v>1</v>
          </cell>
        </row>
        <row r="2878">
          <cell r="D2878">
            <v>41990</v>
          </cell>
          <cell r="U2878">
            <v>3</v>
          </cell>
          <cell r="Z2878">
            <v>0</v>
          </cell>
        </row>
        <row r="2879">
          <cell r="D2879">
            <v>41990</v>
          </cell>
          <cell r="U2879">
            <v>0</v>
          </cell>
          <cell r="Z2879">
            <v>1</v>
          </cell>
        </row>
        <row r="2880">
          <cell r="D2880">
            <v>41990</v>
          </cell>
          <cell r="U2880">
            <v>0</v>
          </cell>
          <cell r="Z2880">
            <v>1</v>
          </cell>
        </row>
        <row r="2881">
          <cell r="D2881">
            <v>41990</v>
          </cell>
          <cell r="U2881">
            <v>1</v>
          </cell>
          <cell r="Z2881">
            <v>0</v>
          </cell>
        </row>
        <row r="2882">
          <cell r="D2882">
            <v>41990</v>
          </cell>
          <cell r="U2882">
            <v>3</v>
          </cell>
          <cell r="Z2882">
            <v>0</v>
          </cell>
        </row>
        <row r="2883">
          <cell r="D2883">
            <v>41990</v>
          </cell>
          <cell r="U2883">
            <v>3</v>
          </cell>
          <cell r="Z2883">
            <v>0</v>
          </cell>
        </row>
        <row r="2884">
          <cell r="D2884">
            <v>41990</v>
          </cell>
          <cell r="U2884">
            <v>0</v>
          </cell>
          <cell r="Z2884">
            <v>1</v>
          </cell>
        </row>
        <row r="2885">
          <cell r="D2885">
            <v>41990</v>
          </cell>
          <cell r="U2885">
            <v>0</v>
          </cell>
          <cell r="Z2885">
            <v>1</v>
          </cell>
        </row>
        <row r="2886">
          <cell r="D2886">
            <v>41990</v>
          </cell>
          <cell r="U2886">
            <v>0</v>
          </cell>
          <cell r="Z2886">
            <v>1</v>
          </cell>
        </row>
        <row r="2887">
          <cell r="D2887">
            <v>41990</v>
          </cell>
          <cell r="U2887">
            <v>0</v>
          </cell>
          <cell r="Z2887">
            <v>1</v>
          </cell>
        </row>
        <row r="2888">
          <cell r="D2888">
            <v>41990</v>
          </cell>
          <cell r="U2888">
            <v>1</v>
          </cell>
          <cell r="Z2888">
            <v>0</v>
          </cell>
        </row>
        <row r="2889">
          <cell r="D2889">
            <v>41990</v>
          </cell>
          <cell r="U2889">
            <v>0</v>
          </cell>
          <cell r="Z2889">
            <v>1</v>
          </cell>
        </row>
        <row r="2890">
          <cell r="D2890">
            <v>41990</v>
          </cell>
          <cell r="U2890">
            <v>0</v>
          </cell>
          <cell r="Z2890">
            <v>1</v>
          </cell>
        </row>
        <row r="2891">
          <cell r="D2891">
            <v>41990</v>
          </cell>
          <cell r="U2891">
            <v>0</v>
          </cell>
          <cell r="Z2891">
            <v>1</v>
          </cell>
        </row>
        <row r="2892">
          <cell r="D2892">
            <v>41990</v>
          </cell>
          <cell r="U2892">
            <v>0</v>
          </cell>
          <cell r="Z2892">
            <v>1</v>
          </cell>
        </row>
        <row r="2893">
          <cell r="D2893">
            <v>41990</v>
          </cell>
          <cell r="U2893">
            <v>0</v>
          </cell>
          <cell r="Z2893">
            <v>1</v>
          </cell>
        </row>
        <row r="2894">
          <cell r="D2894">
            <v>41990</v>
          </cell>
          <cell r="U2894">
            <v>0</v>
          </cell>
          <cell r="Z2894">
            <v>1</v>
          </cell>
        </row>
        <row r="2895">
          <cell r="D2895">
            <v>41990</v>
          </cell>
          <cell r="U2895">
            <v>1</v>
          </cell>
          <cell r="Z2895">
            <v>0</v>
          </cell>
        </row>
        <row r="2896">
          <cell r="D2896">
            <v>41990</v>
          </cell>
          <cell r="U2896">
            <v>2</v>
          </cell>
          <cell r="Z2896">
            <v>0</v>
          </cell>
        </row>
        <row r="2897">
          <cell r="D2897">
            <v>41991</v>
          </cell>
          <cell r="U2897">
            <v>1</v>
          </cell>
          <cell r="Z2897">
            <v>0</v>
          </cell>
        </row>
        <row r="2898">
          <cell r="D2898">
            <v>41991</v>
          </cell>
          <cell r="U2898">
            <v>0</v>
          </cell>
          <cell r="Z2898">
            <v>1</v>
          </cell>
        </row>
        <row r="2899">
          <cell r="D2899">
            <v>41991</v>
          </cell>
          <cell r="U2899">
            <v>2</v>
          </cell>
          <cell r="Z2899">
            <v>0</v>
          </cell>
        </row>
        <row r="2900">
          <cell r="D2900">
            <v>41991</v>
          </cell>
          <cell r="U2900">
            <v>0</v>
          </cell>
          <cell r="Z2900">
            <v>1</v>
          </cell>
        </row>
        <row r="2901">
          <cell r="D2901">
            <v>41991</v>
          </cell>
          <cell r="U2901">
            <v>0</v>
          </cell>
          <cell r="Z2901">
            <v>1</v>
          </cell>
        </row>
        <row r="2902">
          <cell r="D2902">
            <v>41991</v>
          </cell>
          <cell r="U2902">
            <v>0</v>
          </cell>
          <cell r="Z2902">
            <v>1</v>
          </cell>
        </row>
        <row r="2903">
          <cell r="D2903">
            <v>41991</v>
          </cell>
          <cell r="U2903">
            <v>0</v>
          </cell>
          <cell r="Z2903">
            <v>1</v>
          </cell>
        </row>
        <row r="2904">
          <cell r="D2904">
            <v>41991</v>
          </cell>
          <cell r="U2904">
            <v>1</v>
          </cell>
          <cell r="Z2904">
            <v>0</v>
          </cell>
        </row>
        <row r="2905">
          <cell r="D2905">
            <v>41991</v>
          </cell>
          <cell r="U2905">
            <v>0</v>
          </cell>
          <cell r="Z2905">
            <v>1</v>
          </cell>
        </row>
        <row r="2906">
          <cell r="D2906">
            <v>41991</v>
          </cell>
          <cell r="U2906">
            <v>2</v>
          </cell>
          <cell r="Z2906">
            <v>0</v>
          </cell>
        </row>
        <row r="2907">
          <cell r="D2907">
            <v>41991</v>
          </cell>
          <cell r="U2907">
            <v>0</v>
          </cell>
          <cell r="Z2907">
            <v>1</v>
          </cell>
        </row>
        <row r="2908">
          <cell r="D2908">
            <v>41991</v>
          </cell>
          <cell r="U2908">
            <v>0</v>
          </cell>
          <cell r="Z2908">
            <v>1</v>
          </cell>
        </row>
        <row r="2909">
          <cell r="D2909">
            <v>41991</v>
          </cell>
          <cell r="U2909">
            <v>2</v>
          </cell>
          <cell r="Z2909">
            <v>0</v>
          </cell>
        </row>
        <row r="2910">
          <cell r="D2910">
            <v>41991</v>
          </cell>
          <cell r="U2910">
            <v>0</v>
          </cell>
          <cell r="Z2910">
            <v>1</v>
          </cell>
        </row>
        <row r="2911">
          <cell r="D2911">
            <v>41991</v>
          </cell>
          <cell r="U2911">
            <v>1</v>
          </cell>
          <cell r="Z2911">
            <v>0</v>
          </cell>
        </row>
        <row r="2912">
          <cell r="D2912">
            <v>41991</v>
          </cell>
          <cell r="U2912">
            <v>0</v>
          </cell>
          <cell r="Z2912">
            <v>1</v>
          </cell>
        </row>
        <row r="2913">
          <cell r="D2913">
            <v>41991</v>
          </cell>
          <cell r="U2913">
            <v>0</v>
          </cell>
          <cell r="Z2913">
            <v>1</v>
          </cell>
        </row>
        <row r="2914">
          <cell r="D2914">
            <v>41991</v>
          </cell>
          <cell r="U2914">
            <v>0</v>
          </cell>
          <cell r="Z2914">
            <v>1</v>
          </cell>
        </row>
        <row r="2915">
          <cell r="D2915">
            <v>41991</v>
          </cell>
          <cell r="U2915">
            <v>1</v>
          </cell>
          <cell r="Z2915">
            <v>0</v>
          </cell>
        </row>
        <row r="2916">
          <cell r="D2916">
            <v>41991</v>
          </cell>
          <cell r="U2916">
            <v>0</v>
          </cell>
          <cell r="Z2916">
            <v>1</v>
          </cell>
        </row>
        <row r="2917">
          <cell r="D2917">
            <v>41991</v>
          </cell>
          <cell r="U2917">
            <v>0</v>
          </cell>
          <cell r="Z2917">
            <v>1</v>
          </cell>
        </row>
        <row r="2918">
          <cell r="D2918">
            <v>41991</v>
          </cell>
          <cell r="U2918">
            <v>0</v>
          </cell>
          <cell r="Z2918">
            <v>1</v>
          </cell>
        </row>
        <row r="2919">
          <cell r="D2919">
            <v>41991</v>
          </cell>
          <cell r="U2919">
            <v>0</v>
          </cell>
          <cell r="Z2919">
            <v>1</v>
          </cell>
        </row>
        <row r="2920">
          <cell r="D2920">
            <v>41991</v>
          </cell>
          <cell r="U2920">
            <v>0</v>
          </cell>
          <cell r="Z2920">
            <v>1</v>
          </cell>
        </row>
        <row r="2921">
          <cell r="D2921">
            <v>41991</v>
          </cell>
          <cell r="U2921">
            <v>0</v>
          </cell>
          <cell r="Z2921">
            <v>1</v>
          </cell>
        </row>
        <row r="2922">
          <cell r="D2922">
            <v>41991</v>
          </cell>
          <cell r="U2922">
            <v>3</v>
          </cell>
          <cell r="Z2922">
            <v>0</v>
          </cell>
        </row>
        <row r="2923">
          <cell r="D2923">
            <v>41991</v>
          </cell>
          <cell r="U2923">
            <v>0</v>
          </cell>
          <cell r="Z2923">
            <v>1</v>
          </cell>
        </row>
        <row r="2924">
          <cell r="D2924">
            <v>41991</v>
          </cell>
          <cell r="U2924">
            <v>0</v>
          </cell>
          <cell r="Z2924">
            <v>1</v>
          </cell>
        </row>
        <row r="2925">
          <cell r="D2925">
            <v>41991</v>
          </cell>
          <cell r="U2925">
            <v>0</v>
          </cell>
          <cell r="Z2925">
            <v>1</v>
          </cell>
        </row>
        <row r="2926">
          <cell r="D2926">
            <v>41991</v>
          </cell>
          <cell r="U2926">
            <v>2</v>
          </cell>
          <cell r="Z2926">
            <v>0</v>
          </cell>
        </row>
        <row r="2927">
          <cell r="D2927">
            <v>41991</v>
          </cell>
          <cell r="U2927">
            <v>0</v>
          </cell>
          <cell r="Z2927">
            <v>1</v>
          </cell>
        </row>
        <row r="2928">
          <cell r="D2928">
            <v>41991</v>
          </cell>
          <cell r="U2928">
            <v>0</v>
          </cell>
          <cell r="Z2928">
            <v>1</v>
          </cell>
        </row>
        <row r="2929">
          <cell r="D2929">
            <v>41991</v>
          </cell>
          <cell r="U2929">
            <v>3</v>
          </cell>
          <cell r="Z2929">
            <v>0</v>
          </cell>
        </row>
        <row r="2930">
          <cell r="D2930">
            <v>41991</v>
          </cell>
          <cell r="U2930">
            <v>2</v>
          </cell>
          <cell r="Z2930">
            <v>0</v>
          </cell>
        </row>
        <row r="2931">
          <cell r="D2931">
            <v>41991</v>
          </cell>
          <cell r="U2931">
            <v>0</v>
          </cell>
          <cell r="Z2931">
            <v>1</v>
          </cell>
        </row>
        <row r="2932">
          <cell r="D2932">
            <v>41991</v>
          </cell>
          <cell r="U2932">
            <v>3</v>
          </cell>
          <cell r="Z2932">
            <v>0</v>
          </cell>
        </row>
        <row r="2933">
          <cell r="D2933">
            <v>41991</v>
          </cell>
          <cell r="U2933">
            <v>0</v>
          </cell>
          <cell r="Z2933">
            <v>1</v>
          </cell>
        </row>
        <row r="2934">
          <cell r="D2934">
            <v>41991</v>
          </cell>
          <cell r="U2934">
            <v>0</v>
          </cell>
          <cell r="Z2934">
            <v>1</v>
          </cell>
        </row>
        <row r="2935">
          <cell r="D2935">
            <v>41991</v>
          </cell>
          <cell r="U2935">
            <v>0</v>
          </cell>
          <cell r="Z2935">
            <v>1</v>
          </cell>
        </row>
        <row r="2936">
          <cell r="D2936">
            <v>41991</v>
          </cell>
          <cell r="U2936">
            <v>2</v>
          </cell>
          <cell r="Z2936">
            <v>0</v>
          </cell>
        </row>
        <row r="2937">
          <cell r="D2937">
            <v>41991</v>
          </cell>
          <cell r="U2937">
            <v>0</v>
          </cell>
          <cell r="Z2937">
            <v>1</v>
          </cell>
        </row>
        <row r="2938">
          <cell r="D2938">
            <v>41991</v>
          </cell>
          <cell r="U2938">
            <v>0</v>
          </cell>
          <cell r="Z2938">
            <v>1</v>
          </cell>
        </row>
        <row r="2939">
          <cell r="D2939">
            <v>41991</v>
          </cell>
          <cell r="U2939">
            <v>1</v>
          </cell>
          <cell r="Z2939">
            <v>0</v>
          </cell>
        </row>
        <row r="2940">
          <cell r="D2940">
            <v>41991</v>
          </cell>
          <cell r="U2940">
            <v>0</v>
          </cell>
          <cell r="Z2940">
            <v>1</v>
          </cell>
        </row>
        <row r="2941">
          <cell r="D2941">
            <v>41991</v>
          </cell>
          <cell r="U2941">
            <v>0</v>
          </cell>
          <cell r="Z2941">
            <v>1</v>
          </cell>
        </row>
        <row r="2942">
          <cell r="D2942">
            <v>41991</v>
          </cell>
          <cell r="U2942">
            <v>0</v>
          </cell>
          <cell r="Z2942">
            <v>1</v>
          </cell>
        </row>
        <row r="2943">
          <cell r="D2943">
            <v>41991</v>
          </cell>
          <cell r="U2943">
            <v>2</v>
          </cell>
          <cell r="Z2943">
            <v>0</v>
          </cell>
        </row>
        <row r="2944">
          <cell r="D2944">
            <v>41991</v>
          </cell>
          <cell r="U2944">
            <v>0</v>
          </cell>
          <cell r="Z2944">
            <v>1</v>
          </cell>
        </row>
        <row r="2945">
          <cell r="D2945">
            <v>41991</v>
          </cell>
          <cell r="U2945">
            <v>0</v>
          </cell>
          <cell r="Z2945">
            <v>1</v>
          </cell>
        </row>
        <row r="2946">
          <cell r="D2946">
            <v>41991</v>
          </cell>
          <cell r="U2946">
            <v>0</v>
          </cell>
          <cell r="Z2946">
            <v>1</v>
          </cell>
        </row>
        <row r="2947">
          <cell r="D2947">
            <v>41991</v>
          </cell>
          <cell r="U2947">
            <v>0</v>
          </cell>
          <cell r="Z2947">
            <v>1</v>
          </cell>
        </row>
        <row r="2948">
          <cell r="D2948">
            <v>41991</v>
          </cell>
          <cell r="U2948">
            <v>2</v>
          </cell>
          <cell r="Z2948">
            <v>0</v>
          </cell>
        </row>
        <row r="2949">
          <cell r="D2949">
            <v>41991</v>
          </cell>
          <cell r="U2949">
            <v>1</v>
          </cell>
          <cell r="Z2949">
            <v>0</v>
          </cell>
        </row>
        <row r="2950">
          <cell r="D2950">
            <v>41991</v>
          </cell>
          <cell r="U2950">
            <v>2</v>
          </cell>
          <cell r="Z2950">
            <v>0</v>
          </cell>
        </row>
        <row r="2951">
          <cell r="D2951">
            <v>41991</v>
          </cell>
          <cell r="U2951">
            <v>0</v>
          </cell>
          <cell r="Z2951">
            <v>1</v>
          </cell>
        </row>
        <row r="2952">
          <cell r="D2952">
            <v>41991</v>
          </cell>
          <cell r="U2952">
            <v>3</v>
          </cell>
          <cell r="Z2952">
            <v>0</v>
          </cell>
        </row>
        <row r="2953">
          <cell r="D2953">
            <v>41991</v>
          </cell>
          <cell r="U2953">
            <v>0</v>
          </cell>
          <cell r="Z2953">
            <v>1</v>
          </cell>
        </row>
        <row r="2954">
          <cell r="D2954">
            <v>41991</v>
          </cell>
          <cell r="U2954">
            <v>0</v>
          </cell>
          <cell r="Z2954">
            <v>1</v>
          </cell>
        </row>
        <row r="2955">
          <cell r="D2955">
            <v>41991</v>
          </cell>
          <cell r="U2955">
            <v>3</v>
          </cell>
          <cell r="Z2955">
            <v>0</v>
          </cell>
        </row>
        <row r="2956">
          <cell r="D2956">
            <v>41991</v>
          </cell>
          <cell r="U2956">
            <v>0</v>
          </cell>
          <cell r="Z2956">
            <v>1</v>
          </cell>
        </row>
        <row r="2957">
          <cell r="D2957">
            <v>41991</v>
          </cell>
          <cell r="U2957">
            <v>0</v>
          </cell>
          <cell r="Z2957">
            <v>1</v>
          </cell>
        </row>
        <row r="2958">
          <cell r="D2958">
            <v>41991</v>
          </cell>
          <cell r="U2958">
            <v>0</v>
          </cell>
          <cell r="Z2958">
            <v>1</v>
          </cell>
        </row>
        <row r="2959">
          <cell r="D2959">
            <v>41991</v>
          </cell>
          <cell r="U2959">
            <v>2</v>
          </cell>
          <cell r="Z2959">
            <v>0</v>
          </cell>
        </row>
        <row r="2960">
          <cell r="D2960">
            <v>41991</v>
          </cell>
          <cell r="U2960">
            <v>2</v>
          </cell>
          <cell r="Z2960">
            <v>0</v>
          </cell>
        </row>
        <row r="2961">
          <cell r="D2961">
            <v>41991</v>
          </cell>
          <cell r="U2961">
            <v>0</v>
          </cell>
          <cell r="Z2961">
            <v>1</v>
          </cell>
        </row>
        <row r="2962">
          <cell r="D2962">
            <v>41991</v>
          </cell>
          <cell r="U2962">
            <v>0</v>
          </cell>
          <cell r="Z2962">
            <v>1</v>
          </cell>
        </row>
        <row r="2963">
          <cell r="D2963">
            <v>41991</v>
          </cell>
          <cell r="U2963">
            <v>3</v>
          </cell>
          <cell r="Z2963">
            <v>0</v>
          </cell>
        </row>
        <row r="2964">
          <cell r="D2964">
            <v>41991</v>
          </cell>
          <cell r="U2964">
            <v>0</v>
          </cell>
          <cell r="Z2964">
            <v>1</v>
          </cell>
        </row>
        <row r="2965">
          <cell r="D2965">
            <v>41991</v>
          </cell>
          <cell r="U2965">
            <v>1</v>
          </cell>
          <cell r="Z2965">
            <v>0</v>
          </cell>
        </row>
        <row r="2966">
          <cell r="D2966">
            <v>41991</v>
          </cell>
          <cell r="U2966">
            <v>0</v>
          </cell>
          <cell r="Z2966">
            <v>1</v>
          </cell>
        </row>
        <row r="2967">
          <cell r="D2967">
            <v>41991</v>
          </cell>
          <cell r="U2967">
            <v>0</v>
          </cell>
          <cell r="Z2967">
            <v>1</v>
          </cell>
        </row>
        <row r="2968">
          <cell r="D2968">
            <v>41991</v>
          </cell>
          <cell r="U2968">
            <v>0</v>
          </cell>
          <cell r="Z2968">
            <v>1</v>
          </cell>
        </row>
        <row r="2969">
          <cell r="D2969">
            <v>41991</v>
          </cell>
          <cell r="U2969">
            <v>0</v>
          </cell>
          <cell r="Z2969">
            <v>1</v>
          </cell>
        </row>
        <row r="2970">
          <cell r="D2970">
            <v>41991</v>
          </cell>
          <cell r="U2970">
            <v>2</v>
          </cell>
          <cell r="Z2970">
            <v>0</v>
          </cell>
        </row>
        <row r="2971">
          <cell r="D2971">
            <v>41991</v>
          </cell>
          <cell r="U2971">
            <v>1</v>
          </cell>
          <cell r="Z2971">
            <v>0</v>
          </cell>
        </row>
        <row r="2972">
          <cell r="D2972">
            <v>41991</v>
          </cell>
          <cell r="U2972">
            <v>1</v>
          </cell>
          <cell r="Z2972">
            <v>0</v>
          </cell>
        </row>
        <row r="2973">
          <cell r="D2973">
            <v>41991</v>
          </cell>
          <cell r="U2973">
            <v>1</v>
          </cell>
          <cell r="Z2973">
            <v>0</v>
          </cell>
        </row>
        <row r="2974">
          <cell r="D2974">
            <v>41991</v>
          </cell>
          <cell r="U2974">
            <v>1</v>
          </cell>
          <cell r="Z2974">
            <v>0</v>
          </cell>
        </row>
        <row r="2975">
          <cell r="D2975">
            <v>41991</v>
          </cell>
          <cell r="U2975">
            <v>0</v>
          </cell>
          <cell r="Z2975">
            <v>1</v>
          </cell>
        </row>
        <row r="2976">
          <cell r="D2976">
            <v>41991</v>
          </cell>
          <cell r="U2976">
            <v>0</v>
          </cell>
          <cell r="Z2976">
            <v>1</v>
          </cell>
        </row>
        <row r="2977">
          <cell r="D2977">
            <v>41991</v>
          </cell>
          <cell r="U2977">
            <v>0</v>
          </cell>
          <cell r="Z2977">
            <v>1</v>
          </cell>
        </row>
        <row r="2978">
          <cell r="D2978">
            <v>41991</v>
          </cell>
          <cell r="U2978">
            <v>0</v>
          </cell>
          <cell r="Z2978">
            <v>1</v>
          </cell>
        </row>
        <row r="2979">
          <cell r="D2979">
            <v>41991</v>
          </cell>
          <cell r="U2979">
            <v>3</v>
          </cell>
          <cell r="Z2979">
            <v>0</v>
          </cell>
        </row>
        <row r="2980">
          <cell r="D2980">
            <v>41991</v>
          </cell>
          <cell r="U2980">
            <v>0</v>
          </cell>
          <cell r="Z2980">
            <v>1</v>
          </cell>
        </row>
        <row r="2981">
          <cell r="D2981">
            <v>41991</v>
          </cell>
          <cell r="U2981">
            <v>3</v>
          </cell>
          <cell r="Z2981">
            <v>0</v>
          </cell>
        </row>
        <row r="2982">
          <cell r="D2982">
            <v>41991</v>
          </cell>
          <cell r="U2982">
            <v>1</v>
          </cell>
          <cell r="Z2982">
            <v>0</v>
          </cell>
        </row>
        <row r="2983">
          <cell r="D2983">
            <v>41991</v>
          </cell>
          <cell r="U2983">
            <v>0</v>
          </cell>
          <cell r="Z2983">
            <v>1</v>
          </cell>
        </row>
        <row r="2984">
          <cell r="D2984">
            <v>41991</v>
          </cell>
          <cell r="U2984">
            <v>0</v>
          </cell>
          <cell r="Z2984">
            <v>1</v>
          </cell>
        </row>
        <row r="2985">
          <cell r="D2985">
            <v>41991</v>
          </cell>
          <cell r="U2985">
            <v>3</v>
          </cell>
          <cell r="Z2985">
            <v>0</v>
          </cell>
        </row>
        <row r="2986">
          <cell r="D2986">
            <v>41991</v>
          </cell>
          <cell r="U2986">
            <v>1</v>
          </cell>
          <cell r="Z2986">
            <v>0</v>
          </cell>
        </row>
        <row r="2987">
          <cell r="D2987">
            <v>41991</v>
          </cell>
          <cell r="U2987">
            <v>0</v>
          </cell>
          <cell r="Z2987">
            <v>1</v>
          </cell>
        </row>
        <row r="2988">
          <cell r="D2988">
            <v>41991</v>
          </cell>
          <cell r="U2988">
            <v>0</v>
          </cell>
          <cell r="Z2988">
            <v>1</v>
          </cell>
        </row>
        <row r="2989">
          <cell r="D2989">
            <v>41991</v>
          </cell>
          <cell r="U2989">
            <v>0</v>
          </cell>
          <cell r="Z2989">
            <v>1</v>
          </cell>
        </row>
        <row r="2990">
          <cell r="D2990">
            <v>41991</v>
          </cell>
          <cell r="U2990">
            <v>0</v>
          </cell>
          <cell r="Z2990">
            <v>1</v>
          </cell>
        </row>
        <row r="2991">
          <cell r="D2991">
            <v>41991</v>
          </cell>
          <cell r="U2991">
            <v>0</v>
          </cell>
          <cell r="Z2991">
            <v>1</v>
          </cell>
        </row>
        <row r="2992">
          <cell r="D2992">
            <v>41991</v>
          </cell>
          <cell r="U2992">
            <v>2</v>
          </cell>
          <cell r="Z2992">
            <v>0</v>
          </cell>
        </row>
        <row r="2993">
          <cell r="D2993">
            <v>41991</v>
          </cell>
          <cell r="U2993">
            <v>0</v>
          </cell>
          <cell r="Z2993">
            <v>1</v>
          </cell>
        </row>
        <row r="2994">
          <cell r="D2994">
            <v>41991</v>
          </cell>
          <cell r="U2994">
            <v>0</v>
          </cell>
          <cell r="Z2994">
            <v>1</v>
          </cell>
        </row>
        <row r="2995">
          <cell r="D2995">
            <v>41991</v>
          </cell>
          <cell r="U2995">
            <v>3</v>
          </cell>
          <cell r="Z2995">
            <v>0</v>
          </cell>
        </row>
        <row r="2996">
          <cell r="D2996">
            <v>41991</v>
          </cell>
          <cell r="U2996">
            <v>0</v>
          </cell>
          <cell r="Z2996">
            <v>1</v>
          </cell>
        </row>
        <row r="2997">
          <cell r="D2997">
            <v>41991</v>
          </cell>
          <cell r="U2997">
            <v>1</v>
          </cell>
          <cell r="Z2997">
            <v>0</v>
          </cell>
        </row>
        <row r="2998">
          <cell r="D2998">
            <v>41991</v>
          </cell>
          <cell r="U2998">
            <v>3</v>
          </cell>
          <cell r="Z2998">
            <v>0</v>
          </cell>
        </row>
        <row r="2999">
          <cell r="D2999">
            <v>41991</v>
          </cell>
          <cell r="U2999">
            <v>2</v>
          </cell>
          <cell r="Z2999">
            <v>0</v>
          </cell>
        </row>
        <row r="3000">
          <cell r="D3000">
            <v>41991</v>
          </cell>
          <cell r="U3000">
            <v>0</v>
          </cell>
          <cell r="Z3000">
            <v>1</v>
          </cell>
        </row>
        <row r="3001">
          <cell r="D3001">
            <v>41991</v>
          </cell>
          <cell r="U3001">
            <v>1</v>
          </cell>
          <cell r="Z3001">
            <v>0</v>
          </cell>
        </row>
        <row r="3002">
          <cell r="D3002">
            <v>41991</v>
          </cell>
          <cell r="U3002">
            <v>1</v>
          </cell>
          <cell r="Z3002">
            <v>0</v>
          </cell>
        </row>
        <row r="3003">
          <cell r="D3003">
            <v>41991</v>
          </cell>
          <cell r="U3003">
            <v>1</v>
          </cell>
          <cell r="Z3003">
            <v>0</v>
          </cell>
        </row>
        <row r="3004">
          <cell r="D3004">
            <v>41991</v>
          </cell>
          <cell r="U3004">
            <v>1</v>
          </cell>
          <cell r="Z3004">
            <v>0</v>
          </cell>
        </row>
        <row r="3005">
          <cell r="D3005">
            <v>41991</v>
          </cell>
          <cell r="U3005">
            <v>1</v>
          </cell>
          <cell r="Z3005">
            <v>0</v>
          </cell>
        </row>
        <row r="3006">
          <cell r="D3006">
            <v>41991</v>
          </cell>
          <cell r="U3006">
            <v>1</v>
          </cell>
          <cell r="Z3006">
            <v>0</v>
          </cell>
        </row>
        <row r="3007">
          <cell r="D3007">
            <v>41991</v>
          </cell>
          <cell r="U3007">
            <v>0</v>
          </cell>
          <cell r="Z3007">
            <v>1</v>
          </cell>
        </row>
        <row r="3008">
          <cell r="D3008">
            <v>41991</v>
          </cell>
          <cell r="U3008">
            <v>0</v>
          </cell>
          <cell r="Z3008">
            <v>1</v>
          </cell>
        </row>
        <row r="3009">
          <cell r="D3009">
            <v>41991</v>
          </cell>
          <cell r="U3009">
            <v>2</v>
          </cell>
          <cell r="Z3009">
            <v>0</v>
          </cell>
        </row>
        <row r="3010">
          <cell r="D3010">
            <v>41991</v>
          </cell>
          <cell r="U3010">
            <v>0</v>
          </cell>
          <cell r="Z3010">
            <v>1</v>
          </cell>
        </row>
        <row r="3011">
          <cell r="D3011">
            <v>41991</v>
          </cell>
          <cell r="U3011">
            <v>0</v>
          </cell>
          <cell r="Z3011">
            <v>1</v>
          </cell>
        </row>
        <row r="3012">
          <cell r="D3012">
            <v>41991</v>
          </cell>
          <cell r="U3012">
            <v>0</v>
          </cell>
          <cell r="Z3012">
            <v>1</v>
          </cell>
        </row>
        <row r="3013">
          <cell r="D3013">
            <v>41991</v>
          </cell>
          <cell r="U3013">
            <v>0</v>
          </cell>
          <cell r="Z3013">
            <v>1</v>
          </cell>
        </row>
        <row r="3014">
          <cell r="D3014">
            <v>41991</v>
          </cell>
          <cell r="U3014">
            <v>0</v>
          </cell>
          <cell r="Z3014">
            <v>1</v>
          </cell>
        </row>
        <row r="3015">
          <cell r="D3015">
            <v>41991</v>
          </cell>
          <cell r="U3015">
            <v>0</v>
          </cell>
          <cell r="Z3015">
            <v>1</v>
          </cell>
        </row>
        <row r="3016">
          <cell r="D3016">
            <v>41991</v>
          </cell>
          <cell r="U3016">
            <v>0</v>
          </cell>
          <cell r="Z3016">
            <v>1</v>
          </cell>
        </row>
        <row r="3017">
          <cell r="D3017">
            <v>41991</v>
          </cell>
          <cell r="U3017">
            <v>3</v>
          </cell>
          <cell r="Z3017">
            <v>0</v>
          </cell>
        </row>
        <row r="3018">
          <cell r="D3018">
            <v>41991</v>
          </cell>
          <cell r="U3018">
            <v>3</v>
          </cell>
          <cell r="Z3018">
            <v>0</v>
          </cell>
        </row>
        <row r="3019">
          <cell r="D3019">
            <v>41991</v>
          </cell>
          <cell r="U3019">
            <v>0</v>
          </cell>
          <cell r="Z3019">
            <v>1</v>
          </cell>
        </row>
        <row r="3020">
          <cell r="D3020">
            <v>41991</v>
          </cell>
          <cell r="U3020">
            <v>0</v>
          </cell>
          <cell r="Z3020">
            <v>1</v>
          </cell>
        </row>
        <row r="3021">
          <cell r="D3021">
            <v>41991</v>
          </cell>
          <cell r="U3021">
            <v>0</v>
          </cell>
          <cell r="Z3021">
            <v>1</v>
          </cell>
        </row>
        <row r="3022">
          <cell r="D3022">
            <v>41991</v>
          </cell>
          <cell r="U3022">
            <v>0</v>
          </cell>
          <cell r="Z3022">
            <v>1</v>
          </cell>
        </row>
        <row r="3023">
          <cell r="D3023">
            <v>41991</v>
          </cell>
          <cell r="U3023">
            <v>3</v>
          </cell>
          <cell r="Z3023">
            <v>0</v>
          </cell>
        </row>
        <row r="3024">
          <cell r="D3024">
            <v>41991</v>
          </cell>
          <cell r="U3024">
            <v>1</v>
          </cell>
          <cell r="Z3024">
            <v>0</v>
          </cell>
        </row>
        <row r="3025">
          <cell r="D3025">
            <v>41991</v>
          </cell>
          <cell r="U3025">
            <v>0</v>
          </cell>
          <cell r="Z3025">
            <v>1</v>
          </cell>
        </row>
        <row r="3026">
          <cell r="D3026">
            <v>41991</v>
          </cell>
          <cell r="U3026">
            <v>0</v>
          </cell>
          <cell r="Z3026">
            <v>1</v>
          </cell>
        </row>
        <row r="3027">
          <cell r="D3027">
            <v>41991</v>
          </cell>
          <cell r="U3027">
            <v>0</v>
          </cell>
          <cell r="Z3027">
            <v>1</v>
          </cell>
        </row>
        <row r="3028">
          <cell r="D3028">
            <v>41991</v>
          </cell>
          <cell r="U3028">
            <v>0</v>
          </cell>
          <cell r="Z3028">
            <v>1</v>
          </cell>
        </row>
        <row r="3029">
          <cell r="D3029">
            <v>41991</v>
          </cell>
          <cell r="U3029">
            <v>0</v>
          </cell>
          <cell r="Z3029">
            <v>1</v>
          </cell>
        </row>
        <row r="3030">
          <cell r="D3030">
            <v>41991</v>
          </cell>
          <cell r="U3030">
            <v>1</v>
          </cell>
          <cell r="Z3030">
            <v>0</v>
          </cell>
        </row>
        <row r="3031">
          <cell r="D3031">
            <v>41991</v>
          </cell>
          <cell r="U3031">
            <v>2</v>
          </cell>
          <cell r="Z3031">
            <v>0</v>
          </cell>
        </row>
        <row r="3032">
          <cell r="D3032">
            <v>41991</v>
          </cell>
          <cell r="U3032">
            <v>1</v>
          </cell>
          <cell r="Z3032">
            <v>0</v>
          </cell>
        </row>
        <row r="3033">
          <cell r="D3033">
            <v>41991</v>
          </cell>
          <cell r="U3033">
            <v>3</v>
          </cell>
          <cell r="Z3033">
            <v>0</v>
          </cell>
        </row>
        <row r="3034">
          <cell r="D3034">
            <v>41991</v>
          </cell>
          <cell r="U3034">
            <v>3</v>
          </cell>
          <cell r="Z3034">
            <v>0</v>
          </cell>
        </row>
        <row r="3035">
          <cell r="D3035">
            <v>41991</v>
          </cell>
          <cell r="U3035">
            <v>1</v>
          </cell>
          <cell r="Z3035">
            <v>0</v>
          </cell>
        </row>
        <row r="3036">
          <cell r="D3036">
            <v>41991</v>
          </cell>
          <cell r="U3036">
            <v>3</v>
          </cell>
          <cell r="Z3036">
            <v>0</v>
          </cell>
        </row>
        <row r="3037">
          <cell r="D3037">
            <v>41991</v>
          </cell>
          <cell r="U3037">
            <v>0</v>
          </cell>
          <cell r="Z3037">
            <v>1</v>
          </cell>
        </row>
        <row r="3038">
          <cell r="D3038">
            <v>41991</v>
          </cell>
          <cell r="U3038">
            <v>0</v>
          </cell>
          <cell r="Z3038">
            <v>1</v>
          </cell>
        </row>
        <row r="3039">
          <cell r="D3039">
            <v>41991</v>
          </cell>
          <cell r="U3039">
            <v>0</v>
          </cell>
          <cell r="Z3039">
            <v>1</v>
          </cell>
        </row>
        <row r="3040">
          <cell r="D3040">
            <v>41991</v>
          </cell>
          <cell r="U3040">
            <v>3</v>
          </cell>
          <cell r="Z3040">
            <v>0</v>
          </cell>
        </row>
        <row r="3041">
          <cell r="D3041">
            <v>41991</v>
          </cell>
          <cell r="U3041">
            <v>0</v>
          </cell>
          <cell r="Z3041">
            <v>1</v>
          </cell>
        </row>
        <row r="3042">
          <cell r="D3042">
            <v>41991</v>
          </cell>
          <cell r="U3042">
            <v>3</v>
          </cell>
          <cell r="Z3042">
            <v>0</v>
          </cell>
        </row>
        <row r="3043">
          <cell r="D3043">
            <v>41991</v>
          </cell>
          <cell r="U3043">
            <v>0</v>
          </cell>
          <cell r="Z3043">
            <v>1</v>
          </cell>
        </row>
        <row r="3044">
          <cell r="D3044">
            <v>41991</v>
          </cell>
          <cell r="U3044">
            <v>0</v>
          </cell>
          <cell r="Z3044">
            <v>1</v>
          </cell>
        </row>
        <row r="3045">
          <cell r="D3045">
            <v>41991</v>
          </cell>
          <cell r="U3045">
            <v>0</v>
          </cell>
          <cell r="Z3045">
            <v>1</v>
          </cell>
        </row>
        <row r="3046">
          <cell r="D3046">
            <v>41991</v>
          </cell>
          <cell r="U3046">
            <v>0</v>
          </cell>
          <cell r="Z3046">
            <v>1</v>
          </cell>
        </row>
        <row r="3047">
          <cell r="D3047">
            <v>41991</v>
          </cell>
          <cell r="U3047">
            <v>0</v>
          </cell>
          <cell r="Z3047">
            <v>1</v>
          </cell>
        </row>
        <row r="3048">
          <cell r="D3048">
            <v>41991</v>
          </cell>
          <cell r="U3048">
            <v>3</v>
          </cell>
          <cell r="Z3048">
            <v>0</v>
          </cell>
        </row>
        <row r="3049">
          <cell r="D3049">
            <v>41991</v>
          </cell>
          <cell r="U3049">
            <v>0</v>
          </cell>
          <cell r="Z3049">
            <v>1</v>
          </cell>
        </row>
        <row r="3050">
          <cell r="D3050">
            <v>41991</v>
          </cell>
          <cell r="U3050">
            <v>0</v>
          </cell>
          <cell r="Z3050">
            <v>1</v>
          </cell>
        </row>
        <row r="3051">
          <cell r="D3051">
            <v>41991</v>
          </cell>
          <cell r="U3051">
            <v>0</v>
          </cell>
          <cell r="Z3051">
            <v>1</v>
          </cell>
        </row>
        <row r="3052">
          <cell r="D3052">
            <v>41991</v>
          </cell>
          <cell r="U3052">
            <v>1</v>
          </cell>
          <cell r="Z3052">
            <v>0</v>
          </cell>
        </row>
        <row r="3053">
          <cell r="D3053">
            <v>41991</v>
          </cell>
          <cell r="U3053">
            <v>3</v>
          </cell>
          <cell r="Z3053">
            <v>0</v>
          </cell>
        </row>
        <row r="3054">
          <cell r="D3054">
            <v>41991</v>
          </cell>
          <cell r="U3054">
            <v>0</v>
          </cell>
          <cell r="Z3054">
            <v>1</v>
          </cell>
        </row>
        <row r="3055">
          <cell r="D3055">
            <v>41991</v>
          </cell>
          <cell r="U3055">
            <v>0</v>
          </cell>
          <cell r="Z3055">
            <v>1</v>
          </cell>
        </row>
        <row r="3056">
          <cell r="D3056">
            <v>41992</v>
          </cell>
          <cell r="U3056">
            <v>0</v>
          </cell>
          <cell r="Z3056">
            <v>1</v>
          </cell>
        </row>
        <row r="3057">
          <cell r="D3057">
            <v>41992</v>
          </cell>
          <cell r="U3057">
            <v>3</v>
          </cell>
          <cell r="Z3057">
            <v>0</v>
          </cell>
        </row>
        <row r="3058">
          <cell r="D3058">
            <v>41992</v>
          </cell>
          <cell r="U3058">
            <v>0</v>
          </cell>
          <cell r="Z3058">
            <v>1</v>
          </cell>
        </row>
        <row r="3059">
          <cell r="D3059">
            <v>41992</v>
          </cell>
          <cell r="U3059">
            <v>2</v>
          </cell>
          <cell r="Z3059">
            <v>0</v>
          </cell>
        </row>
        <row r="3060">
          <cell r="D3060">
            <v>41992</v>
          </cell>
          <cell r="U3060">
            <v>0</v>
          </cell>
          <cell r="Z3060">
            <v>1</v>
          </cell>
        </row>
        <row r="3061">
          <cell r="D3061">
            <v>41992</v>
          </cell>
          <cell r="U3061">
            <v>1</v>
          </cell>
          <cell r="Z3061">
            <v>0</v>
          </cell>
        </row>
        <row r="3062">
          <cell r="D3062">
            <v>41992</v>
          </cell>
          <cell r="U3062">
            <v>1</v>
          </cell>
          <cell r="Z3062">
            <v>0</v>
          </cell>
        </row>
        <row r="3063">
          <cell r="D3063">
            <v>41992</v>
          </cell>
          <cell r="U3063">
            <v>0</v>
          </cell>
          <cell r="Z3063">
            <v>1</v>
          </cell>
        </row>
        <row r="3064">
          <cell r="D3064">
            <v>41992</v>
          </cell>
          <cell r="U3064">
            <v>0</v>
          </cell>
          <cell r="Z3064">
            <v>1</v>
          </cell>
        </row>
        <row r="3065">
          <cell r="D3065">
            <v>41992</v>
          </cell>
          <cell r="U3065">
            <v>3</v>
          </cell>
          <cell r="Z3065">
            <v>0</v>
          </cell>
        </row>
        <row r="3066">
          <cell r="D3066">
            <v>41992</v>
          </cell>
          <cell r="U3066">
            <v>0</v>
          </cell>
          <cell r="Z3066">
            <v>1</v>
          </cell>
        </row>
        <row r="3067">
          <cell r="D3067">
            <v>41992</v>
          </cell>
          <cell r="U3067">
            <v>1</v>
          </cell>
          <cell r="Z3067">
            <v>0</v>
          </cell>
        </row>
        <row r="3068">
          <cell r="D3068">
            <v>41992</v>
          </cell>
          <cell r="U3068">
            <v>1</v>
          </cell>
          <cell r="Z3068">
            <v>0</v>
          </cell>
        </row>
        <row r="3069">
          <cell r="D3069">
            <v>41992</v>
          </cell>
          <cell r="U3069">
            <v>0</v>
          </cell>
          <cell r="Z3069">
            <v>1</v>
          </cell>
        </row>
        <row r="3070">
          <cell r="D3070">
            <v>41992</v>
          </cell>
          <cell r="U3070">
            <v>2</v>
          </cell>
          <cell r="Z3070">
            <v>0</v>
          </cell>
        </row>
        <row r="3071">
          <cell r="D3071">
            <v>41992</v>
          </cell>
          <cell r="U3071">
            <v>3</v>
          </cell>
          <cell r="Z3071">
            <v>0</v>
          </cell>
        </row>
        <row r="3072">
          <cell r="D3072">
            <v>41992</v>
          </cell>
          <cell r="U3072">
            <v>3</v>
          </cell>
          <cell r="Z3072">
            <v>0</v>
          </cell>
        </row>
        <row r="3073">
          <cell r="D3073">
            <v>41992</v>
          </cell>
          <cell r="U3073">
            <v>0</v>
          </cell>
          <cell r="Z3073">
            <v>1</v>
          </cell>
        </row>
        <row r="3074">
          <cell r="D3074">
            <v>41992</v>
          </cell>
          <cell r="U3074">
            <v>0</v>
          </cell>
          <cell r="Z3074">
            <v>1</v>
          </cell>
        </row>
        <row r="3075">
          <cell r="D3075">
            <v>41992</v>
          </cell>
          <cell r="U3075">
            <v>0</v>
          </cell>
          <cell r="Z3075">
            <v>1</v>
          </cell>
        </row>
        <row r="3076">
          <cell r="D3076">
            <v>41992</v>
          </cell>
          <cell r="U3076">
            <v>3</v>
          </cell>
          <cell r="Z3076">
            <v>0</v>
          </cell>
        </row>
        <row r="3077">
          <cell r="D3077">
            <v>41992</v>
          </cell>
          <cell r="U3077">
            <v>3</v>
          </cell>
          <cell r="Z3077">
            <v>0</v>
          </cell>
        </row>
        <row r="3078">
          <cell r="D3078">
            <v>41992</v>
          </cell>
          <cell r="U3078">
            <v>1</v>
          </cell>
          <cell r="Z3078">
            <v>0</v>
          </cell>
        </row>
        <row r="3079">
          <cell r="D3079">
            <v>41992</v>
          </cell>
          <cell r="U3079">
            <v>1</v>
          </cell>
          <cell r="Z3079">
            <v>0</v>
          </cell>
        </row>
        <row r="3080">
          <cell r="D3080">
            <v>41992</v>
          </cell>
          <cell r="U3080">
            <v>0</v>
          </cell>
          <cell r="Z3080">
            <v>1</v>
          </cell>
        </row>
        <row r="3081">
          <cell r="D3081">
            <v>41992</v>
          </cell>
          <cell r="U3081">
            <v>0</v>
          </cell>
          <cell r="Z3081">
            <v>1</v>
          </cell>
        </row>
        <row r="3082">
          <cell r="D3082">
            <v>41992</v>
          </cell>
          <cell r="U3082">
            <v>0</v>
          </cell>
          <cell r="Z3082">
            <v>1</v>
          </cell>
        </row>
        <row r="3083">
          <cell r="D3083">
            <v>41992</v>
          </cell>
          <cell r="U3083">
            <v>0</v>
          </cell>
          <cell r="Z3083">
            <v>1</v>
          </cell>
        </row>
        <row r="3084">
          <cell r="D3084">
            <v>41992</v>
          </cell>
          <cell r="U3084">
            <v>0</v>
          </cell>
          <cell r="Z3084">
            <v>1</v>
          </cell>
        </row>
        <row r="3085">
          <cell r="D3085">
            <v>41992</v>
          </cell>
          <cell r="U3085">
            <v>0</v>
          </cell>
          <cell r="Z3085">
            <v>1</v>
          </cell>
        </row>
        <row r="3086">
          <cell r="D3086">
            <v>41992</v>
          </cell>
          <cell r="U3086">
            <v>0</v>
          </cell>
          <cell r="Z3086">
            <v>1</v>
          </cell>
        </row>
        <row r="3087">
          <cell r="D3087">
            <v>41992</v>
          </cell>
          <cell r="U3087">
            <v>0</v>
          </cell>
          <cell r="Z3087">
            <v>1</v>
          </cell>
        </row>
        <row r="3088">
          <cell r="D3088">
            <v>41992</v>
          </cell>
          <cell r="U3088">
            <v>2</v>
          </cell>
          <cell r="Z3088">
            <v>0</v>
          </cell>
        </row>
        <row r="3089">
          <cell r="D3089">
            <v>41992</v>
          </cell>
          <cell r="U3089">
            <v>1</v>
          </cell>
          <cell r="Z3089">
            <v>0</v>
          </cell>
        </row>
        <row r="3090">
          <cell r="D3090">
            <v>41992</v>
          </cell>
          <cell r="U3090">
            <v>0</v>
          </cell>
          <cell r="Z3090">
            <v>1</v>
          </cell>
        </row>
        <row r="3091">
          <cell r="D3091">
            <v>41992</v>
          </cell>
          <cell r="U3091">
            <v>1</v>
          </cell>
          <cell r="Z3091">
            <v>0</v>
          </cell>
        </row>
        <row r="3092">
          <cell r="D3092">
            <v>41992</v>
          </cell>
          <cell r="U3092">
            <v>0</v>
          </cell>
          <cell r="Z3092">
            <v>1</v>
          </cell>
        </row>
        <row r="3093">
          <cell r="D3093">
            <v>41992</v>
          </cell>
          <cell r="U3093">
            <v>0</v>
          </cell>
          <cell r="Z3093">
            <v>1</v>
          </cell>
        </row>
        <row r="3094">
          <cell r="D3094">
            <v>41992</v>
          </cell>
          <cell r="U3094">
            <v>0</v>
          </cell>
          <cell r="Z3094">
            <v>1</v>
          </cell>
        </row>
        <row r="3095">
          <cell r="D3095">
            <v>41992</v>
          </cell>
          <cell r="U3095">
            <v>0</v>
          </cell>
          <cell r="Z3095">
            <v>1</v>
          </cell>
        </row>
        <row r="3096">
          <cell r="D3096">
            <v>41992</v>
          </cell>
          <cell r="U3096">
            <v>0</v>
          </cell>
          <cell r="Z3096">
            <v>1</v>
          </cell>
        </row>
        <row r="3097">
          <cell r="D3097">
            <v>41992</v>
          </cell>
          <cell r="U3097">
            <v>0</v>
          </cell>
          <cell r="Z3097">
            <v>1</v>
          </cell>
        </row>
        <row r="3098">
          <cell r="D3098">
            <v>41992</v>
          </cell>
          <cell r="U3098">
            <v>2</v>
          </cell>
          <cell r="Z3098">
            <v>0</v>
          </cell>
        </row>
        <row r="3099">
          <cell r="D3099">
            <v>41992</v>
          </cell>
          <cell r="U3099">
            <v>0</v>
          </cell>
          <cell r="Z3099">
            <v>1</v>
          </cell>
        </row>
        <row r="3100">
          <cell r="D3100">
            <v>41992</v>
          </cell>
          <cell r="U3100">
            <v>3</v>
          </cell>
          <cell r="Z3100">
            <v>0</v>
          </cell>
        </row>
        <row r="3101">
          <cell r="D3101">
            <v>41992</v>
          </cell>
          <cell r="U3101">
            <v>0</v>
          </cell>
          <cell r="Z3101">
            <v>1</v>
          </cell>
        </row>
        <row r="3102">
          <cell r="D3102">
            <v>41992</v>
          </cell>
          <cell r="U3102">
            <v>1</v>
          </cell>
          <cell r="Z3102">
            <v>0</v>
          </cell>
        </row>
        <row r="3103">
          <cell r="D3103">
            <v>41992</v>
          </cell>
          <cell r="U3103">
            <v>1</v>
          </cell>
          <cell r="Z3103">
            <v>0</v>
          </cell>
        </row>
        <row r="3104">
          <cell r="D3104">
            <v>41992</v>
          </cell>
          <cell r="U3104">
            <v>0</v>
          </cell>
          <cell r="Z3104">
            <v>1</v>
          </cell>
        </row>
        <row r="3105">
          <cell r="D3105">
            <v>41992</v>
          </cell>
          <cell r="U3105">
            <v>0</v>
          </cell>
          <cell r="Z3105">
            <v>1</v>
          </cell>
        </row>
        <row r="3106">
          <cell r="D3106">
            <v>41992</v>
          </cell>
          <cell r="U3106">
            <v>0</v>
          </cell>
          <cell r="Z3106">
            <v>1</v>
          </cell>
        </row>
        <row r="3107">
          <cell r="D3107">
            <v>41992</v>
          </cell>
          <cell r="U3107">
            <v>1</v>
          </cell>
          <cell r="Z3107">
            <v>0</v>
          </cell>
        </row>
        <row r="3108">
          <cell r="D3108">
            <v>41992</v>
          </cell>
          <cell r="U3108">
            <v>0</v>
          </cell>
          <cell r="Z3108">
            <v>1</v>
          </cell>
        </row>
        <row r="3109">
          <cell r="D3109">
            <v>41992</v>
          </cell>
          <cell r="U3109">
            <v>0</v>
          </cell>
          <cell r="Z3109">
            <v>1</v>
          </cell>
        </row>
        <row r="3110">
          <cell r="D3110">
            <v>41992</v>
          </cell>
          <cell r="U3110">
            <v>3</v>
          </cell>
          <cell r="Z3110">
            <v>0</v>
          </cell>
        </row>
        <row r="3111">
          <cell r="D3111">
            <v>41992</v>
          </cell>
          <cell r="U3111">
            <v>2</v>
          </cell>
          <cell r="Z3111">
            <v>0</v>
          </cell>
        </row>
        <row r="3112">
          <cell r="D3112">
            <v>41992</v>
          </cell>
          <cell r="U3112">
            <v>3</v>
          </cell>
          <cell r="Z3112">
            <v>0</v>
          </cell>
        </row>
        <row r="3113">
          <cell r="D3113">
            <v>41992</v>
          </cell>
          <cell r="U3113">
            <v>1</v>
          </cell>
          <cell r="Z3113">
            <v>0</v>
          </cell>
        </row>
        <row r="3114">
          <cell r="D3114">
            <v>41992</v>
          </cell>
          <cell r="U3114">
            <v>0</v>
          </cell>
          <cell r="Z3114">
            <v>1</v>
          </cell>
        </row>
        <row r="3115">
          <cell r="D3115">
            <v>41992</v>
          </cell>
          <cell r="U3115">
            <v>0</v>
          </cell>
          <cell r="Z3115">
            <v>1</v>
          </cell>
        </row>
        <row r="3116">
          <cell r="D3116">
            <v>41992</v>
          </cell>
          <cell r="U3116">
            <v>0</v>
          </cell>
          <cell r="Z3116">
            <v>1</v>
          </cell>
        </row>
        <row r="3117">
          <cell r="D3117">
            <v>41992</v>
          </cell>
          <cell r="U3117">
            <v>1</v>
          </cell>
          <cell r="Z3117">
            <v>0</v>
          </cell>
        </row>
        <row r="3118">
          <cell r="D3118">
            <v>41992</v>
          </cell>
          <cell r="U3118">
            <v>0</v>
          </cell>
          <cell r="Z3118">
            <v>1</v>
          </cell>
        </row>
        <row r="3119">
          <cell r="D3119">
            <v>41992</v>
          </cell>
          <cell r="U3119">
            <v>1</v>
          </cell>
          <cell r="Z3119">
            <v>0</v>
          </cell>
        </row>
        <row r="3120">
          <cell r="D3120">
            <v>41992</v>
          </cell>
          <cell r="U3120">
            <v>3</v>
          </cell>
          <cell r="Z3120">
            <v>0</v>
          </cell>
        </row>
        <row r="3121">
          <cell r="D3121">
            <v>41992</v>
          </cell>
          <cell r="U3121">
            <v>0</v>
          </cell>
          <cell r="Z3121">
            <v>1</v>
          </cell>
        </row>
        <row r="3122">
          <cell r="D3122">
            <v>41992</v>
          </cell>
          <cell r="U3122">
            <v>3</v>
          </cell>
          <cell r="Z3122">
            <v>0</v>
          </cell>
        </row>
        <row r="3123">
          <cell r="D3123">
            <v>41992</v>
          </cell>
          <cell r="U3123">
            <v>3</v>
          </cell>
          <cell r="Z3123">
            <v>0</v>
          </cell>
        </row>
        <row r="3124">
          <cell r="D3124">
            <v>41992</v>
          </cell>
          <cell r="U3124">
            <v>0</v>
          </cell>
          <cell r="Z3124">
            <v>1</v>
          </cell>
        </row>
        <row r="3125">
          <cell r="D3125">
            <v>41992</v>
          </cell>
          <cell r="U3125">
            <v>0</v>
          </cell>
          <cell r="Z3125">
            <v>1</v>
          </cell>
        </row>
        <row r="3126">
          <cell r="D3126">
            <v>41992</v>
          </cell>
          <cell r="U3126">
            <v>1</v>
          </cell>
          <cell r="Z3126">
            <v>0</v>
          </cell>
        </row>
        <row r="3127">
          <cell r="D3127">
            <v>41992</v>
          </cell>
          <cell r="U3127">
            <v>1</v>
          </cell>
          <cell r="Z3127">
            <v>0</v>
          </cell>
        </row>
        <row r="3128">
          <cell r="D3128">
            <v>41992</v>
          </cell>
          <cell r="U3128">
            <v>0</v>
          </cell>
          <cell r="Z3128">
            <v>1</v>
          </cell>
        </row>
        <row r="3129">
          <cell r="D3129">
            <v>41992</v>
          </cell>
          <cell r="U3129">
            <v>3</v>
          </cell>
          <cell r="Z3129">
            <v>0</v>
          </cell>
        </row>
        <row r="3130">
          <cell r="D3130">
            <v>41992</v>
          </cell>
          <cell r="U3130">
            <v>0</v>
          </cell>
          <cell r="Z3130">
            <v>1</v>
          </cell>
        </row>
        <row r="3131">
          <cell r="D3131">
            <v>41992</v>
          </cell>
          <cell r="U3131">
            <v>1</v>
          </cell>
          <cell r="Z3131">
            <v>0</v>
          </cell>
        </row>
        <row r="3132">
          <cell r="D3132">
            <v>41992</v>
          </cell>
          <cell r="U3132">
            <v>0</v>
          </cell>
          <cell r="Z3132">
            <v>1</v>
          </cell>
        </row>
        <row r="3133">
          <cell r="D3133">
            <v>41992</v>
          </cell>
          <cell r="U3133">
            <v>0</v>
          </cell>
          <cell r="Z3133">
            <v>1</v>
          </cell>
        </row>
        <row r="3134">
          <cell r="D3134">
            <v>41992</v>
          </cell>
          <cell r="U3134">
            <v>0</v>
          </cell>
          <cell r="Z3134">
            <v>1</v>
          </cell>
        </row>
        <row r="3135">
          <cell r="D3135">
            <v>41992</v>
          </cell>
          <cell r="U3135">
            <v>0</v>
          </cell>
          <cell r="Z3135">
            <v>1</v>
          </cell>
        </row>
        <row r="3136">
          <cell r="D3136">
            <v>41992</v>
          </cell>
          <cell r="U3136">
            <v>3</v>
          </cell>
          <cell r="Z3136">
            <v>0</v>
          </cell>
        </row>
        <row r="3137">
          <cell r="D3137">
            <v>41992</v>
          </cell>
          <cell r="U3137">
            <v>2</v>
          </cell>
          <cell r="Z3137">
            <v>0</v>
          </cell>
        </row>
        <row r="3138">
          <cell r="D3138">
            <v>41992</v>
          </cell>
          <cell r="U3138">
            <v>0</v>
          </cell>
          <cell r="Z3138">
            <v>1</v>
          </cell>
        </row>
        <row r="3139">
          <cell r="D3139">
            <v>41992</v>
          </cell>
          <cell r="U3139">
            <v>0</v>
          </cell>
          <cell r="Z3139">
            <v>1</v>
          </cell>
        </row>
        <row r="3140">
          <cell r="D3140">
            <v>41992</v>
          </cell>
          <cell r="U3140">
            <v>0</v>
          </cell>
          <cell r="Z3140">
            <v>1</v>
          </cell>
        </row>
        <row r="3141">
          <cell r="D3141">
            <v>41992</v>
          </cell>
          <cell r="U3141">
            <v>0</v>
          </cell>
          <cell r="Z3141">
            <v>1</v>
          </cell>
        </row>
        <row r="3142">
          <cell r="D3142">
            <v>41992</v>
          </cell>
          <cell r="U3142">
            <v>0</v>
          </cell>
          <cell r="Z3142">
            <v>1</v>
          </cell>
        </row>
        <row r="3143">
          <cell r="D3143">
            <v>41992</v>
          </cell>
          <cell r="U3143">
            <v>0</v>
          </cell>
          <cell r="Z3143">
            <v>1</v>
          </cell>
        </row>
        <row r="3144">
          <cell r="D3144">
            <v>41992</v>
          </cell>
          <cell r="U3144">
            <v>3</v>
          </cell>
          <cell r="Z3144">
            <v>0</v>
          </cell>
        </row>
        <row r="3145">
          <cell r="D3145">
            <v>41992</v>
          </cell>
          <cell r="U3145">
            <v>0</v>
          </cell>
          <cell r="Z3145">
            <v>1</v>
          </cell>
        </row>
        <row r="3146">
          <cell r="D3146">
            <v>41992</v>
          </cell>
          <cell r="U3146">
            <v>0</v>
          </cell>
          <cell r="Z3146">
            <v>1</v>
          </cell>
        </row>
        <row r="3147">
          <cell r="D3147">
            <v>41992</v>
          </cell>
          <cell r="U3147">
            <v>0</v>
          </cell>
          <cell r="Z3147">
            <v>1</v>
          </cell>
        </row>
        <row r="3148">
          <cell r="D3148">
            <v>41992</v>
          </cell>
          <cell r="U3148">
            <v>0</v>
          </cell>
          <cell r="Z3148">
            <v>1</v>
          </cell>
        </row>
        <row r="3149">
          <cell r="D3149">
            <v>41992</v>
          </cell>
          <cell r="U3149">
            <v>0</v>
          </cell>
          <cell r="Z3149">
            <v>1</v>
          </cell>
        </row>
        <row r="3150">
          <cell r="D3150">
            <v>41992</v>
          </cell>
          <cell r="U3150">
            <v>3</v>
          </cell>
          <cell r="Z3150">
            <v>0</v>
          </cell>
        </row>
        <row r="3151">
          <cell r="D3151">
            <v>41992</v>
          </cell>
          <cell r="U3151">
            <v>3</v>
          </cell>
          <cell r="Z3151">
            <v>0</v>
          </cell>
        </row>
        <row r="3152">
          <cell r="D3152">
            <v>41992</v>
          </cell>
          <cell r="U3152">
            <v>2</v>
          </cell>
          <cell r="Z3152">
            <v>0</v>
          </cell>
        </row>
        <row r="3153">
          <cell r="D3153">
            <v>41992</v>
          </cell>
          <cell r="U3153">
            <v>0</v>
          </cell>
          <cell r="Z3153">
            <v>1</v>
          </cell>
        </row>
        <row r="3154">
          <cell r="D3154">
            <v>41992</v>
          </cell>
          <cell r="U3154">
            <v>0</v>
          </cell>
          <cell r="Z3154">
            <v>1</v>
          </cell>
        </row>
        <row r="3155">
          <cell r="D3155">
            <v>41992</v>
          </cell>
          <cell r="U3155">
            <v>3</v>
          </cell>
          <cell r="Z3155">
            <v>0</v>
          </cell>
        </row>
        <row r="3156">
          <cell r="D3156">
            <v>41992</v>
          </cell>
          <cell r="U3156">
            <v>0</v>
          </cell>
          <cell r="Z3156">
            <v>1</v>
          </cell>
        </row>
        <row r="3157">
          <cell r="D3157">
            <v>41992</v>
          </cell>
          <cell r="U3157">
            <v>0</v>
          </cell>
          <cell r="Z3157">
            <v>1</v>
          </cell>
        </row>
        <row r="3158">
          <cell r="D3158">
            <v>41992</v>
          </cell>
          <cell r="U3158">
            <v>0</v>
          </cell>
          <cell r="Z3158">
            <v>1</v>
          </cell>
        </row>
        <row r="3159">
          <cell r="D3159">
            <v>41992</v>
          </cell>
          <cell r="U3159">
            <v>1</v>
          </cell>
          <cell r="Z3159">
            <v>0</v>
          </cell>
        </row>
        <row r="3160">
          <cell r="D3160">
            <v>41992</v>
          </cell>
          <cell r="U3160">
            <v>0</v>
          </cell>
          <cell r="Z3160">
            <v>1</v>
          </cell>
        </row>
        <row r="3161">
          <cell r="D3161">
            <v>41992</v>
          </cell>
          <cell r="U3161">
            <v>1</v>
          </cell>
          <cell r="Z3161">
            <v>0</v>
          </cell>
        </row>
        <row r="3162">
          <cell r="D3162">
            <v>41992</v>
          </cell>
          <cell r="U3162">
            <v>0</v>
          </cell>
          <cell r="Z3162">
            <v>1</v>
          </cell>
        </row>
        <row r="3163">
          <cell r="D3163">
            <v>41992</v>
          </cell>
          <cell r="U3163">
            <v>0</v>
          </cell>
          <cell r="Z3163">
            <v>1</v>
          </cell>
        </row>
        <row r="3164">
          <cell r="D3164">
            <v>41992</v>
          </cell>
          <cell r="U3164">
            <v>0</v>
          </cell>
          <cell r="Z3164">
            <v>1</v>
          </cell>
        </row>
        <row r="3165">
          <cell r="D3165">
            <v>41992</v>
          </cell>
          <cell r="U3165">
            <v>0</v>
          </cell>
          <cell r="Z3165">
            <v>1</v>
          </cell>
        </row>
        <row r="3166">
          <cell r="D3166">
            <v>41992</v>
          </cell>
          <cell r="U3166">
            <v>0</v>
          </cell>
          <cell r="Z3166">
            <v>1</v>
          </cell>
        </row>
        <row r="3167">
          <cell r="D3167">
            <v>41992</v>
          </cell>
          <cell r="U3167">
            <v>0</v>
          </cell>
          <cell r="Z3167">
            <v>1</v>
          </cell>
        </row>
        <row r="3168">
          <cell r="D3168">
            <v>41992</v>
          </cell>
          <cell r="U3168">
            <v>3</v>
          </cell>
          <cell r="Z3168">
            <v>0</v>
          </cell>
        </row>
        <row r="3169">
          <cell r="D3169">
            <v>41992</v>
          </cell>
          <cell r="U3169">
            <v>3</v>
          </cell>
          <cell r="Z3169">
            <v>0</v>
          </cell>
        </row>
        <row r="3170">
          <cell r="D3170">
            <v>41992</v>
          </cell>
          <cell r="U3170">
            <v>1</v>
          </cell>
          <cell r="Z3170">
            <v>0</v>
          </cell>
        </row>
        <row r="3171">
          <cell r="D3171">
            <v>41992</v>
          </cell>
          <cell r="U3171">
            <v>0</v>
          </cell>
          <cell r="Z3171">
            <v>1</v>
          </cell>
        </row>
        <row r="3172">
          <cell r="D3172">
            <v>41992</v>
          </cell>
          <cell r="U3172">
            <v>0</v>
          </cell>
          <cell r="Z3172">
            <v>1</v>
          </cell>
        </row>
        <row r="3173">
          <cell r="D3173">
            <v>41992</v>
          </cell>
          <cell r="U3173">
            <v>0</v>
          </cell>
          <cell r="Z3173">
            <v>1</v>
          </cell>
        </row>
        <row r="3174">
          <cell r="D3174">
            <v>41992</v>
          </cell>
          <cell r="U3174">
            <v>0</v>
          </cell>
          <cell r="Z3174">
            <v>1</v>
          </cell>
        </row>
        <row r="3175">
          <cell r="D3175">
            <v>41992</v>
          </cell>
          <cell r="U3175">
            <v>2</v>
          </cell>
          <cell r="Z3175">
            <v>0</v>
          </cell>
        </row>
        <row r="3176">
          <cell r="D3176">
            <v>41992</v>
          </cell>
          <cell r="U3176">
            <v>1</v>
          </cell>
          <cell r="Z3176">
            <v>0</v>
          </cell>
        </row>
        <row r="3177">
          <cell r="D3177">
            <v>41992</v>
          </cell>
          <cell r="U3177">
            <v>1</v>
          </cell>
          <cell r="Z3177">
            <v>0</v>
          </cell>
        </row>
        <row r="3178">
          <cell r="D3178">
            <v>41992</v>
          </cell>
          <cell r="U3178">
            <v>0</v>
          </cell>
          <cell r="Z3178">
            <v>1</v>
          </cell>
        </row>
        <row r="3179">
          <cell r="D3179">
            <v>41992</v>
          </cell>
          <cell r="U3179">
            <v>0</v>
          </cell>
          <cell r="Z3179">
            <v>1</v>
          </cell>
        </row>
        <row r="3180">
          <cell r="D3180">
            <v>41992</v>
          </cell>
          <cell r="U3180">
            <v>0</v>
          </cell>
          <cell r="Z3180">
            <v>1</v>
          </cell>
        </row>
        <row r="3181">
          <cell r="D3181">
            <v>41992</v>
          </cell>
          <cell r="U3181">
            <v>0</v>
          </cell>
          <cell r="Z3181">
            <v>1</v>
          </cell>
        </row>
        <row r="3182">
          <cell r="D3182">
            <v>41992</v>
          </cell>
          <cell r="U3182">
            <v>2</v>
          </cell>
          <cell r="Z3182">
            <v>0</v>
          </cell>
        </row>
        <row r="3183">
          <cell r="D3183">
            <v>41992</v>
          </cell>
          <cell r="U3183">
            <v>0</v>
          </cell>
          <cell r="Z3183">
            <v>1</v>
          </cell>
        </row>
        <row r="3184">
          <cell r="D3184">
            <v>41992</v>
          </cell>
          <cell r="U3184">
            <v>0</v>
          </cell>
          <cell r="Z3184">
            <v>1</v>
          </cell>
        </row>
        <row r="3185">
          <cell r="D3185">
            <v>41992</v>
          </cell>
          <cell r="U3185">
            <v>2</v>
          </cell>
          <cell r="Z3185">
            <v>0</v>
          </cell>
        </row>
        <row r="3186">
          <cell r="D3186">
            <v>41992</v>
          </cell>
          <cell r="U3186">
            <v>0</v>
          </cell>
          <cell r="Z3186">
            <v>1</v>
          </cell>
        </row>
        <row r="3187">
          <cell r="D3187">
            <v>41992</v>
          </cell>
          <cell r="U3187">
            <v>0</v>
          </cell>
          <cell r="Z3187">
            <v>1</v>
          </cell>
        </row>
        <row r="3188">
          <cell r="D3188">
            <v>41992</v>
          </cell>
          <cell r="U3188">
            <v>0</v>
          </cell>
          <cell r="Z3188">
            <v>1</v>
          </cell>
        </row>
        <row r="3189">
          <cell r="D3189">
            <v>41992</v>
          </cell>
          <cell r="U3189">
            <v>0</v>
          </cell>
          <cell r="Z3189">
            <v>1</v>
          </cell>
        </row>
        <row r="3190">
          <cell r="D3190">
            <v>41992</v>
          </cell>
          <cell r="U3190">
            <v>0</v>
          </cell>
          <cell r="Z3190">
            <v>1</v>
          </cell>
        </row>
        <row r="3191">
          <cell r="D3191">
            <v>41992</v>
          </cell>
          <cell r="U3191">
            <v>0</v>
          </cell>
          <cell r="Z3191">
            <v>1</v>
          </cell>
        </row>
        <row r="3192">
          <cell r="D3192">
            <v>41992</v>
          </cell>
          <cell r="U3192">
            <v>0</v>
          </cell>
          <cell r="Z3192">
            <v>1</v>
          </cell>
        </row>
        <row r="3193">
          <cell r="D3193">
            <v>41992</v>
          </cell>
          <cell r="U3193">
            <v>0</v>
          </cell>
          <cell r="Z3193">
            <v>1</v>
          </cell>
        </row>
        <row r="3194">
          <cell r="D3194">
            <v>41992</v>
          </cell>
          <cell r="U3194">
            <v>0</v>
          </cell>
          <cell r="Z3194">
            <v>1</v>
          </cell>
        </row>
        <row r="3195">
          <cell r="D3195">
            <v>41992</v>
          </cell>
          <cell r="U3195">
            <v>0</v>
          </cell>
          <cell r="Z3195">
            <v>1</v>
          </cell>
        </row>
        <row r="3196">
          <cell r="D3196">
            <v>41992</v>
          </cell>
          <cell r="U3196">
            <v>0</v>
          </cell>
          <cell r="Z3196">
            <v>1</v>
          </cell>
        </row>
        <row r="3197">
          <cell r="D3197">
            <v>41992</v>
          </cell>
          <cell r="U3197">
            <v>0</v>
          </cell>
          <cell r="Z3197">
            <v>1</v>
          </cell>
        </row>
        <row r="3198">
          <cell r="D3198">
            <v>41992</v>
          </cell>
          <cell r="U3198">
            <v>0</v>
          </cell>
          <cell r="Z3198">
            <v>1</v>
          </cell>
        </row>
        <row r="3199">
          <cell r="D3199">
            <v>41992</v>
          </cell>
          <cell r="U3199">
            <v>0</v>
          </cell>
          <cell r="Z3199">
            <v>1</v>
          </cell>
        </row>
        <row r="3200">
          <cell r="D3200">
            <v>41992</v>
          </cell>
          <cell r="U3200">
            <v>0</v>
          </cell>
          <cell r="Z3200">
            <v>1</v>
          </cell>
        </row>
        <row r="3201">
          <cell r="D3201">
            <v>41992</v>
          </cell>
          <cell r="U3201">
            <v>2</v>
          </cell>
          <cell r="Z3201">
            <v>0</v>
          </cell>
        </row>
        <row r="3202">
          <cell r="D3202">
            <v>41992</v>
          </cell>
          <cell r="U3202">
            <v>1</v>
          </cell>
          <cell r="Z3202">
            <v>0</v>
          </cell>
        </row>
        <row r="3203">
          <cell r="D3203">
            <v>41992</v>
          </cell>
          <cell r="U3203">
            <v>0</v>
          </cell>
          <cell r="Z3203">
            <v>1</v>
          </cell>
        </row>
        <row r="3204">
          <cell r="D3204">
            <v>41992</v>
          </cell>
          <cell r="U3204">
            <v>0</v>
          </cell>
          <cell r="Z3204">
            <v>1</v>
          </cell>
        </row>
        <row r="3205">
          <cell r="D3205">
            <v>41992</v>
          </cell>
          <cell r="U3205">
            <v>0</v>
          </cell>
          <cell r="Z3205">
            <v>1</v>
          </cell>
        </row>
        <row r="3206">
          <cell r="D3206">
            <v>41992</v>
          </cell>
          <cell r="U3206">
            <v>2</v>
          </cell>
          <cell r="Z3206">
            <v>0</v>
          </cell>
        </row>
        <row r="3207">
          <cell r="D3207">
            <v>41992</v>
          </cell>
          <cell r="U3207">
            <v>0</v>
          </cell>
          <cell r="Z3207">
            <v>1</v>
          </cell>
        </row>
        <row r="3208">
          <cell r="D3208">
            <v>41992</v>
          </cell>
          <cell r="U3208">
            <v>2</v>
          </cell>
          <cell r="Z3208">
            <v>0</v>
          </cell>
        </row>
        <row r="3209">
          <cell r="D3209">
            <v>41992</v>
          </cell>
          <cell r="U3209">
            <v>3</v>
          </cell>
          <cell r="Z3209">
            <v>0</v>
          </cell>
        </row>
        <row r="3210">
          <cell r="D3210">
            <v>41993</v>
          </cell>
          <cell r="U3210">
            <v>0</v>
          </cell>
          <cell r="Z3210">
            <v>1</v>
          </cell>
        </row>
        <row r="3211">
          <cell r="D3211">
            <v>41993</v>
          </cell>
          <cell r="U3211">
            <v>0</v>
          </cell>
          <cell r="Z3211">
            <v>1</v>
          </cell>
        </row>
        <row r="3212">
          <cell r="D3212">
            <v>41993</v>
          </cell>
          <cell r="U3212">
            <v>0</v>
          </cell>
          <cell r="Z3212">
            <v>1</v>
          </cell>
        </row>
        <row r="3213">
          <cell r="D3213">
            <v>41993</v>
          </cell>
          <cell r="U3213">
            <v>0</v>
          </cell>
          <cell r="Z3213">
            <v>1</v>
          </cell>
        </row>
        <row r="3214">
          <cell r="D3214">
            <v>41993</v>
          </cell>
          <cell r="U3214">
            <v>0</v>
          </cell>
          <cell r="Z3214">
            <v>1</v>
          </cell>
        </row>
        <row r="3215">
          <cell r="D3215">
            <v>41993</v>
          </cell>
          <cell r="U3215">
            <v>1</v>
          </cell>
          <cell r="Z3215">
            <v>0</v>
          </cell>
        </row>
        <row r="3216">
          <cell r="D3216">
            <v>41993</v>
          </cell>
          <cell r="U3216">
            <v>0</v>
          </cell>
          <cell r="Z3216">
            <v>1</v>
          </cell>
        </row>
        <row r="3217">
          <cell r="D3217">
            <v>41993</v>
          </cell>
          <cell r="U3217">
            <v>1</v>
          </cell>
          <cell r="Z3217">
            <v>0</v>
          </cell>
        </row>
        <row r="3218">
          <cell r="D3218">
            <v>41993</v>
          </cell>
          <cell r="U3218">
            <v>0</v>
          </cell>
          <cell r="Z3218">
            <v>1</v>
          </cell>
        </row>
        <row r="3219">
          <cell r="D3219">
            <v>41993</v>
          </cell>
          <cell r="U3219">
            <v>0</v>
          </cell>
          <cell r="Z3219">
            <v>1</v>
          </cell>
        </row>
        <row r="3220">
          <cell r="D3220">
            <v>41993</v>
          </cell>
          <cell r="U3220">
            <v>3</v>
          </cell>
          <cell r="Z3220">
            <v>0</v>
          </cell>
        </row>
        <row r="3221">
          <cell r="D3221">
            <v>41993</v>
          </cell>
          <cell r="U3221">
            <v>0</v>
          </cell>
          <cell r="Z3221">
            <v>1</v>
          </cell>
        </row>
        <row r="3222">
          <cell r="D3222">
            <v>41993</v>
          </cell>
          <cell r="U3222">
            <v>0</v>
          </cell>
          <cell r="Z3222">
            <v>1</v>
          </cell>
        </row>
        <row r="3223">
          <cell r="D3223">
            <v>41993</v>
          </cell>
          <cell r="U3223">
            <v>0</v>
          </cell>
          <cell r="Z3223">
            <v>1</v>
          </cell>
        </row>
        <row r="3224">
          <cell r="D3224">
            <v>41993</v>
          </cell>
          <cell r="U3224">
            <v>3</v>
          </cell>
          <cell r="Z3224">
            <v>0</v>
          </cell>
        </row>
        <row r="3225">
          <cell r="D3225">
            <v>41993</v>
          </cell>
          <cell r="U3225">
            <v>0</v>
          </cell>
          <cell r="Z3225">
            <v>1</v>
          </cell>
        </row>
        <row r="3226">
          <cell r="D3226">
            <v>41993</v>
          </cell>
          <cell r="U3226">
            <v>1</v>
          </cell>
          <cell r="Z3226">
            <v>0</v>
          </cell>
        </row>
        <row r="3227">
          <cell r="D3227">
            <v>41993</v>
          </cell>
          <cell r="U3227">
            <v>0</v>
          </cell>
          <cell r="Z3227">
            <v>1</v>
          </cell>
        </row>
        <row r="3228">
          <cell r="D3228">
            <v>41993</v>
          </cell>
          <cell r="U3228">
            <v>2</v>
          </cell>
          <cell r="Z3228">
            <v>0</v>
          </cell>
        </row>
        <row r="3229">
          <cell r="D3229">
            <v>41993</v>
          </cell>
          <cell r="U3229">
            <v>1</v>
          </cell>
          <cell r="Z3229">
            <v>0</v>
          </cell>
        </row>
        <row r="3230">
          <cell r="D3230">
            <v>41993</v>
          </cell>
          <cell r="U3230">
            <v>0</v>
          </cell>
          <cell r="Z3230">
            <v>1</v>
          </cell>
        </row>
        <row r="3231">
          <cell r="D3231">
            <v>41993</v>
          </cell>
          <cell r="U3231">
            <v>0</v>
          </cell>
          <cell r="Z3231">
            <v>1</v>
          </cell>
        </row>
        <row r="3232">
          <cell r="D3232">
            <v>41993</v>
          </cell>
          <cell r="U3232">
            <v>1</v>
          </cell>
          <cell r="Z3232">
            <v>0</v>
          </cell>
        </row>
        <row r="3233">
          <cell r="D3233">
            <v>41993</v>
          </cell>
          <cell r="U3233">
            <v>2</v>
          </cell>
          <cell r="Z3233">
            <v>0</v>
          </cell>
        </row>
        <row r="3234">
          <cell r="D3234">
            <v>41993</v>
          </cell>
          <cell r="U3234">
            <v>0</v>
          </cell>
          <cell r="Z3234">
            <v>1</v>
          </cell>
        </row>
        <row r="3235">
          <cell r="D3235">
            <v>41993</v>
          </cell>
          <cell r="U3235">
            <v>1</v>
          </cell>
          <cell r="Z3235">
            <v>0</v>
          </cell>
        </row>
        <row r="3236">
          <cell r="D3236">
            <v>41993</v>
          </cell>
          <cell r="U3236">
            <v>3</v>
          </cell>
          <cell r="Z3236">
            <v>0</v>
          </cell>
        </row>
        <row r="3237">
          <cell r="D3237">
            <v>41993</v>
          </cell>
          <cell r="U3237">
            <v>0</v>
          </cell>
          <cell r="Z3237">
            <v>1</v>
          </cell>
        </row>
        <row r="3238">
          <cell r="D3238">
            <v>41993</v>
          </cell>
          <cell r="U3238">
            <v>0</v>
          </cell>
          <cell r="Z3238">
            <v>1</v>
          </cell>
        </row>
        <row r="3239">
          <cell r="D3239">
            <v>41993</v>
          </cell>
          <cell r="U3239">
            <v>2</v>
          </cell>
          <cell r="Z3239">
            <v>0</v>
          </cell>
        </row>
        <row r="3240">
          <cell r="D3240">
            <v>41993</v>
          </cell>
          <cell r="U3240">
            <v>0</v>
          </cell>
          <cell r="Z3240">
            <v>1</v>
          </cell>
        </row>
        <row r="3241">
          <cell r="D3241">
            <v>41993</v>
          </cell>
          <cell r="U3241">
            <v>3</v>
          </cell>
          <cell r="Z3241">
            <v>0</v>
          </cell>
        </row>
        <row r="3242">
          <cell r="D3242">
            <v>41993</v>
          </cell>
          <cell r="U3242">
            <v>0</v>
          </cell>
          <cell r="Z3242">
            <v>1</v>
          </cell>
        </row>
        <row r="3243">
          <cell r="D3243">
            <v>41993</v>
          </cell>
          <cell r="U3243">
            <v>0</v>
          </cell>
          <cell r="Z3243">
            <v>1</v>
          </cell>
        </row>
        <row r="3244">
          <cell r="D3244">
            <v>41993</v>
          </cell>
          <cell r="U3244">
            <v>0</v>
          </cell>
          <cell r="Z3244">
            <v>1</v>
          </cell>
        </row>
        <row r="3245">
          <cell r="D3245">
            <v>41993</v>
          </cell>
          <cell r="U3245">
            <v>0</v>
          </cell>
          <cell r="Z3245">
            <v>1</v>
          </cell>
        </row>
        <row r="3246">
          <cell r="D3246">
            <v>41993</v>
          </cell>
          <cell r="U3246">
            <v>2</v>
          </cell>
          <cell r="Z3246">
            <v>0</v>
          </cell>
        </row>
        <row r="3247">
          <cell r="D3247">
            <v>41993</v>
          </cell>
          <cell r="U3247">
            <v>0</v>
          </cell>
          <cell r="Z3247">
            <v>1</v>
          </cell>
        </row>
        <row r="3248">
          <cell r="D3248">
            <v>41993</v>
          </cell>
          <cell r="U3248">
            <v>1</v>
          </cell>
          <cell r="Z3248">
            <v>0</v>
          </cell>
        </row>
        <row r="3249">
          <cell r="D3249">
            <v>41993</v>
          </cell>
          <cell r="U3249">
            <v>0</v>
          </cell>
          <cell r="Z3249">
            <v>3</v>
          </cell>
        </row>
        <row r="3250">
          <cell r="D3250">
            <v>41993</v>
          </cell>
          <cell r="U3250">
            <v>1</v>
          </cell>
          <cell r="Z3250">
            <v>0</v>
          </cell>
        </row>
        <row r="3251">
          <cell r="D3251">
            <v>41993</v>
          </cell>
          <cell r="U3251">
            <v>1</v>
          </cell>
          <cell r="Z3251">
            <v>0</v>
          </cell>
        </row>
        <row r="3252">
          <cell r="D3252">
            <v>41993</v>
          </cell>
          <cell r="U3252">
            <v>0</v>
          </cell>
          <cell r="Z3252">
            <v>1</v>
          </cell>
        </row>
        <row r="3253">
          <cell r="D3253">
            <v>41993</v>
          </cell>
          <cell r="U3253">
            <v>3</v>
          </cell>
          <cell r="Z3253">
            <v>0</v>
          </cell>
        </row>
        <row r="3254">
          <cell r="D3254">
            <v>41993</v>
          </cell>
          <cell r="U3254">
            <v>0</v>
          </cell>
          <cell r="Z3254">
            <v>1</v>
          </cell>
        </row>
        <row r="3255">
          <cell r="D3255">
            <v>41993</v>
          </cell>
          <cell r="U3255">
            <v>0</v>
          </cell>
          <cell r="Z3255">
            <v>1</v>
          </cell>
        </row>
        <row r="3256">
          <cell r="D3256">
            <v>41993</v>
          </cell>
          <cell r="U3256">
            <v>0</v>
          </cell>
          <cell r="Z3256">
            <v>1</v>
          </cell>
        </row>
        <row r="3257">
          <cell r="D3257">
            <v>41993</v>
          </cell>
          <cell r="U3257">
            <v>0</v>
          </cell>
          <cell r="Z3257">
            <v>1</v>
          </cell>
        </row>
        <row r="3258">
          <cell r="D3258">
            <v>41993</v>
          </cell>
          <cell r="U3258">
            <v>0</v>
          </cell>
          <cell r="Z3258">
            <v>1</v>
          </cell>
        </row>
        <row r="3259">
          <cell r="D3259">
            <v>41993</v>
          </cell>
          <cell r="U3259">
            <v>0</v>
          </cell>
          <cell r="Z3259">
            <v>1</v>
          </cell>
        </row>
        <row r="3260">
          <cell r="D3260">
            <v>41993</v>
          </cell>
          <cell r="U3260">
            <v>1</v>
          </cell>
          <cell r="Z3260">
            <v>0</v>
          </cell>
        </row>
        <row r="3261">
          <cell r="D3261">
            <v>41993</v>
          </cell>
          <cell r="U3261">
            <v>3</v>
          </cell>
          <cell r="Z3261">
            <v>0</v>
          </cell>
        </row>
        <row r="3262">
          <cell r="D3262">
            <v>41993</v>
          </cell>
          <cell r="U3262">
            <v>0</v>
          </cell>
          <cell r="Z3262">
            <v>1</v>
          </cell>
        </row>
        <row r="3263">
          <cell r="D3263">
            <v>41993</v>
          </cell>
          <cell r="U3263">
            <v>0</v>
          </cell>
          <cell r="Z3263">
            <v>1</v>
          </cell>
        </row>
        <row r="3264">
          <cell r="D3264">
            <v>41993</v>
          </cell>
          <cell r="U3264">
            <v>0</v>
          </cell>
          <cell r="Z3264">
            <v>1</v>
          </cell>
        </row>
        <row r="3265">
          <cell r="D3265">
            <v>41993</v>
          </cell>
          <cell r="U3265">
            <v>0</v>
          </cell>
          <cell r="Z3265">
            <v>1</v>
          </cell>
        </row>
        <row r="3266">
          <cell r="D3266">
            <v>41993</v>
          </cell>
          <cell r="U3266">
            <v>3</v>
          </cell>
          <cell r="Z3266">
            <v>0</v>
          </cell>
        </row>
        <row r="3267">
          <cell r="D3267">
            <v>41993</v>
          </cell>
          <cell r="U3267">
            <v>0</v>
          </cell>
          <cell r="Z3267">
            <v>1</v>
          </cell>
        </row>
        <row r="3268">
          <cell r="D3268">
            <v>41993</v>
          </cell>
          <cell r="U3268">
            <v>0</v>
          </cell>
          <cell r="Z3268">
            <v>1</v>
          </cell>
        </row>
        <row r="3269">
          <cell r="D3269">
            <v>41993</v>
          </cell>
          <cell r="U3269">
            <v>3</v>
          </cell>
          <cell r="Z3269">
            <v>0</v>
          </cell>
        </row>
        <row r="3270">
          <cell r="D3270">
            <v>41993</v>
          </cell>
          <cell r="U3270">
            <v>3</v>
          </cell>
          <cell r="Z3270">
            <v>0</v>
          </cell>
        </row>
        <row r="3271">
          <cell r="D3271">
            <v>41993</v>
          </cell>
          <cell r="U3271">
            <v>3</v>
          </cell>
          <cell r="Z3271">
            <v>0</v>
          </cell>
        </row>
        <row r="3272">
          <cell r="D3272">
            <v>41993</v>
          </cell>
          <cell r="U3272">
            <v>3</v>
          </cell>
          <cell r="Z3272">
            <v>0</v>
          </cell>
        </row>
        <row r="3273">
          <cell r="D3273">
            <v>41993</v>
          </cell>
          <cell r="U3273">
            <v>3</v>
          </cell>
          <cell r="Z3273">
            <v>0</v>
          </cell>
        </row>
        <row r="3274">
          <cell r="D3274">
            <v>41993</v>
          </cell>
          <cell r="U3274">
            <v>0</v>
          </cell>
          <cell r="Z3274">
            <v>1</v>
          </cell>
        </row>
        <row r="3275">
          <cell r="D3275">
            <v>41993</v>
          </cell>
          <cell r="U3275">
            <v>0</v>
          </cell>
          <cell r="Z3275">
            <v>1</v>
          </cell>
        </row>
        <row r="3276">
          <cell r="D3276">
            <v>41993</v>
          </cell>
          <cell r="U3276">
            <v>0</v>
          </cell>
          <cell r="Z3276">
            <v>1</v>
          </cell>
        </row>
        <row r="3277">
          <cell r="D3277">
            <v>41993</v>
          </cell>
          <cell r="U3277">
            <v>0</v>
          </cell>
          <cell r="Z3277">
            <v>1</v>
          </cell>
        </row>
        <row r="3278">
          <cell r="D3278">
            <v>41993</v>
          </cell>
          <cell r="U3278">
            <v>0</v>
          </cell>
          <cell r="Z3278">
            <v>1</v>
          </cell>
        </row>
        <row r="3279">
          <cell r="D3279">
            <v>41993</v>
          </cell>
          <cell r="U3279">
            <v>0</v>
          </cell>
          <cell r="Z3279">
            <v>1</v>
          </cell>
        </row>
        <row r="3280">
          <cell r="D3280">
            <v>41993</v>
          </cell>
          <cell r="U3280">
            <v>0</v>
          </cell>
          <cell r="Z3280">
            <v>1</v>
          </cell>
        </row>
        <row r="3281">
          <cell r="D3281">
            <v>41993</v>
          </cell>
          <cell r="U3281">
            <v>0</v>
          </cell>
          <cell r="Z3281">
            <v>1</v>
          </cell>
        </row>
        <row r="3282">
          <cell r="D3282">
            <v>41993</v>
          </cell>
          <cell r="U3282">
            <v>1</v>
          </cell>
          <cell r="Z3282">
            <v>0</v>
          </cell>
        </row>
        <row r="3283">
          <cell r="D3283">
            <v>41993</v>
          </cell>
          <cell r="U3283">
            <v>1</v>
          </cell>
          <cell r="Z3283">
            <v>0</v>
          </cell>
        </row>
        <row r="3284">
          <cell r="D3284">
            <v>41993</v>
          </cell>
          <cell r="U3284">
            <v>0</v>
          </cell>
          <cell r="Z3284">
            <v>1</v>
          </cell>
        </row>
        <row r="3285">
          <cell r="D3285">
            <v>41993</v>
          </cell>
          <cell r="U3285">
            <v>3</v>
          </cell>
          <cell r="Z3285">
            <v>0</v>
          </cell>
        </row>
        <row r="3286">
          <cell r="D3286">
            <v>41993</v>
          </cell>
          <cell r="U3286">
            <v>0</v>
          </cell>
          <cell r="Z3286">
            <v>1</v>
          </cell>
        </row>
        <row r="3287">
          <cell r="D3287">
            <v>41993</v>
          </cell>
          <cell r="U3287">
            <v>0</v>
          </cell>
          <cell r="Z3287">
            <v>1</v>
          </cell>
        </row>
        <row r="3288">
          <cell r="D3288">
            <v>41993</v>
          </cell>
          <cell r="U3288">
            <v>0</v>
          </cell>
          <cell r="Z3288">
            <v>1</v>
          </cell>
        </row>
        <row r="3289">
          <cell r="D3289">
            <v>41993</v>
          </cell>
          <cell r="U3289">
            <v>0</v>
          </cell>
          <cell r="Z3289">
            <v>1</v>
          </cell>
        </row>
        <row r="3290">
          <cell r="D3290">
            <v>41993</v>
          </cell>
          <cell r="U3290">
            <v>0</v>
          </cell>
          <cell r="Z3290">
            <v>1</v>
          </cell>
        </row>
        <row r="3291">
          <cell r="D3291">
            <v>41993</v>
          </cell>
          <cell r="U3291">
            <v>0</v>
          </cell>
          <cell r="Z3291">
            <v>1</v>
          </cell>
        </row>
        <row r="3292">
          <cell r="D3292">
            <v>41993</v>
          </cell>
          <cell r="U3292">
            <v>0</v>
          </cell>
          <cell r="Z3292">
            <v>1</v>
          </cell>
        </row>
        <row r="3293">
          <cell r="D3293">
            <v>41993</v>
          </cell>
          <cell r="U3293">
            <v>1</v>
          </cell>
          <cell r="Z3293">
            <v>0</v>
          </cell>
        </row>
        <row r="3294">
          <cell r="D3294">
            <v>41993</v>
          </cell>
          <cell r="U3294">
            <v>0</v>
          </cell>
          <cell r="Z3294">
            <v>1</v>
          </cell>
        </row>
        <row r="3295">
          <cell r="D3295">
            <v>41993</v>
          </cell>
          <cell r="U3295">
            <v>0</v>
          </cell>
          <cell r="Z3295">
            <v>1</v>
          </cell>
        </row>
        <row r="3296">
          <cell r="D3296">
            <v>41993</v>
          </cell>
          <cell r="U3296">
            <v>0</v>
          </cell>
          <cell r="Z3296">
            <v>1</v>
          </cell>
        </row>
        <row r="3297">
          <cell r="D3297">
            <v>41993</v>
          </cell>
          <cell r="U3297">
            <v>0</v>
          </cell>
          <cell r="Z3297">
            <v>1</v>
          </cell>
        </row>
        <row r="3298">
          <cell r="D3298">
            <v>41993</v>
          </cell>
          <cell r="U3298">
            <v>2</v>
          </cell>
          <cell r="Z3298">
            <v>0</v>
          </cell>
        </row>
        <row r="3299">
          <cell r="D3299">
            <v>41993</v>
          </cell>
          <cell r="U3299">
            <v>0</v>
          </cell>
          <cell r="Z3299">
            <v>1</v>
          </cell>
        </row>
        <row r="3300">
          <cell r="D3300">
            <v>41993</v>
          </cell>
          <cell r="U3300">
            <v>0</v>
          </cell>
          <cell r="Z3300">
            <v>1</v>
          </cell>
        </row>
        <row r="3301">
          <cell r="D3301">
            <v>41993</v>
          </cell>
          <cell r="U3301">
            <v>3</v>
          </cell>
          <cell r="Z3301">
            <v>0</v>
          </cell>
        </row>
        <row r="3302">
          <cell r="D3302">
            <v>41993</v>
          </cell>
          <cell r="U3302">
            <v>0</v>
          </cell>
          <cell r="Z3302">
            <v>1</v>
          </cell>
        </row>
        <row r="3303">
          <cell r="D3303">
            <v>41993</v>
          </cell>
          <cell r="U3303">
            <v>0</v>
          </cell>
          <cell r="Z3303">
            <v>1</v>
          </cell>
        </row>
        <row r="3304">
          <cell r="D3304">
            <v>41993</v>
          </cell>
          <cell r="U3304">
            <v>2</v>
          </cell>
          <cell r="Z3304">
            <v>0</v>
          </cell>
        </row>
        <row r="3305">
          <cell r="D3305">
            <v>41993</v>
          </cell>
          <cell r="U3305">
            <v>0</v>
          </cell>
          <cell r="Z3305">
            <v>1</v>
          </cell>
        </row>
        <row r="3306">
          <cell r="D3306">
            <v>41993</v>
          </cell>
          <cell r="U3306">
            <v>0</v>
          </cell>
          <cell r="Z3306">
            <v>1</v>
          </cell>
        </row>
        <row r="3307">
          <cell r="D3307">
            <v>41993</v>
          </cell>
          <cell r="U3307">
            <v>0</v>
          </cell>
          <cell r="Z3307">
            <v>1</v>
          </cell>
        </row>
        <row r="3308">
          <cell r="D3308">
            <v>41993</v>
          </cell>
          <cell r="U3308">
            <v>0</v>
          </cell>
          <cell r="Z3308">
            <v>1</v>
          </cell>
        </row>
        <row r="3309">
          <cell r="D3309">
            <v>41993</v>
          </cell>
          <cell r="U3309">
            <v>1</v>
          </cell>
          <cell r="Z3309">
            <v>0</v>
          </cell>
        </row>
        <row r="3310">
          <cell r="D3310">
            <v>41993</v>
          </cell>
          <cell r="U3310">
            <v>0</v>
          </cell>
          <cell r="Z3310">
            <v>1</v>
          </cell>
        </row>
        <row r="3311">
          <cell r="D3311">
            <v>41993</v>
          </cell>
          <cell r="U3311">
            <v>0</v>
          </cell>
          <cell r="Z3311">
            <v>1</v>
          </cell>
        </row>
        <row r="3312">
          <cell r="D3312">
            <v>41993</v>
          </cell>
          <cell r="U3312">
            <v>0</v>
          </cell>
          <cell r="Z3312">
            <v>1</v>
          </cell>
        </row>
        <row r="3313">
          <cell r="D3313">
            <v>41993</v>
          </cell>
          <cell r="U3313">
            <v>0</v>
          </cell>
          <cell r="Z3313">
            <v>1</v>
          </cell>
        </row>
        <row r="3314">
          <cell r="D3314">
            <v>41993</v>
          </cell>
          <cell r="U3314">
            <v>0</v>
          </cell>
          <cell r="Z3314">
            <v>1</v>
          </cell>
        </row>
        <row r="3315">
          <cell r="D3315">
            <v>41993</v>
          </cell>
          <cell r="U3315">
            <v>0</v>
          </cell>
          <cell r="Z3315">
            <v>1</v>
          </cell>
        </row>
        <row r="3316">
          <cell r="D3316">
            <v>41993</v>
          </cell>
          <cell r="U3316">
            <v>0</v>
          </cell>
          <cell r="Z3316">
            <v>1</v>
          </cell>
        </row>
        <row r="3317">
          <cell r="D3317">
            <v>41993</v>
          </cell>
          <cell r="U3317">
            <v>0</v>
          </cell>
          <cell r="Z3317">
            <v>1</v>
          </cell>
        </row>
        <row r="3318">
          <cell r="D3318">
            <v>41993</v>
          </cell>
          <cell r="U3318">
            <v>0</v>
          </cell>
          <cell r="Z3318">
            <v>1</v>
          </cell>
        </row>
        <row r="3319">
          <cell r="D3319">
            <v>41993</v>
          </cell>
          <cell r="U3319">
            <v>1</v>
          </cell>
          <cell r="Z3319">
            <v>0</v>
          </cell>
        </row>
        <row r="3320">
          <cell r="D3320">
            <v>41993</v>
          </cell>
          <cell r="U3320">
            <v>3</v>
          </cell>
          <cell r="Z3320">
            <v>0</v>
          </cell>
        </row>
        <row r="3321">
          <cell r="D3321">
            <v>41993</v>
          </cell>
          <cell r="U3321">
            <v>0</v>
          </cell>
          <cell r="Z3321">
            <v>1</v>
          </cell>
        </row>
        <row r="3322">
          <cell r="D3322">
            <v>41993</v>
          </cell>
          <cell r="U3322">
            <v>0</v>
          </cell>
          <cell r="Z3322">
            <v>1</v>
          </cell>
        </row>
        <row r="3323">
          <cell r="D3323">
            <v>41993</v>
          </cell>
          <cell r="U3323">
            <v>0</v>
          </cell>
          <cell r="Z3323">
            <v>1</v>
          </cell>
        </row>
        <row r="3324">
          <cell r="D3324">
            <v>41993</v>
          </cell>
          <cell r="U3324">
            <v>3</v>
          </cell>
          <cell r="Z3324">
            <v>0</v>
          </cell>
        </row>
        <row r="3325">
          <cell r="D3325">
            <v>41993</v>
          </cell>
          <cell r="U3325">
            <v>0</v>
          </cell>
          <cell r="Z3325">
            <v>1</v>
          </cell>
        </row>
        <row r="3326">
          <cell r="D3326">
            <v>41993</v>
          </cell>
          <cell r="U3326">
            <v>2</v>
          </cell>
          <cell r="Z3326">
            <v>0</v>
          </cell>
        </row>
        <row r="3327">
          <cell r="D3327">
            <v>41993</v>
          </cell>
          <cell r="U3327">
            <v>0</v>
          </cell>
          <cell r="Z3327">
            <v>1</v>
          </cell>
        </row>
        <row r="3328">
          <cell r="D3328">
            <v>41993</v>
          </cell>
          <cell r="U3328">
            <v>0</v>
          </cell>
          <cell r="Z3328">
            <v>1</v>
          </cell>
        </row>
        <row r="3329">
          <cell r="D3329">
            <v>41993</v>
          </cell>
          <cell r="U3329">
            <v>1</v>
          </cell>
          <cell r="Z3329">
            <v>0</v>
          </cell>
        </row>
        <row r="3330">
          <cell r="D3330">
            <v>41993</v>
          </cell>
          <cell r="U3330">
            <v>3</v>
          </cell>
          <cell r="Z3330">
            <v>0</v>
          </cell>
        </row>
        <row r="3331">
          <cell r="D3331">
            <v>41993</v>
          </cell>
          <cell r="U3331">
            <v>1</v>
          </cell>
          <cell r="Z3331">
            <v>0</v>
          </cell>
        </row>
        <row r="3332">
          <cell r="D3332">
            <v>41993</v>
          </cell>
          <cell r="U3332">
            <v>0</v>
          </cell>
          <cell r="Z3332">
            <v>1</v>
          </cell>
        </row>
        <row r="3333">
          <cell r="D3333">
            <v>41993</v>
          </cell>
          <cell r="U3333">
            <v>0</v>
          </cell>
          <cell r="Z3333">
            <v>1</v>
          </cell>
        </row>
        <row r="3334">
          <cell r="D3334">
            <v>41993</v>
          </cell>
          <cell r="U3334">
            <v>0</v>
          </cell>
          <cell r="Z3334">
            <v>1</v>
          </cell>
        </row>
        <row r="3335">
          <cell r="D3335">
            <v>41993</v>
          </cell>
          <cell r="U3335">
            <v>3</v>
          </cell>
          <cell r="Z3335">
            <v>0</v>
          </cell>
        </row>
        <row r="3336">
          <cell r="D3336">
            <v>41993</v>
          </cell>
          <cell r="U3336">
            <v>1</v>
          </cell>
          <cell r="Z3336">
            <v>0</v>
          </cell>
        </row>
        <row r="3337">
          <cell r="D3337">
            <v>41993</v>
          </cell>
          <cell r="U3337">
            <v>0</v>
          </cell>
          <cell r="Z3337">
            <v>1</v>
          </cell>
        </row>
        <row r="3338">
          <cell r="D3338">
            <v>41993</v>
          </cell>
          <cell r="U3338">
            <v>0</v>
          </cell>
          <cell r="Z3338">
            <v>1</v>
          </cell>
        </row>
        <row r="3339">
          <cell r="D3339">
            <v>41993</v>
          </cell>
          <cell r="U3339">
            <v>1</v>
          </cell>
          <cell r="Z3339">
            <v>0</v>
          </cell>
        </row>
        <row r="3340">
          <cell r="D3340">
            <v>41993</v>
          </cell>
          <cell r="U3340">
            <v>0</v>
          </cell>
          <cell r="Z3340">
            <v>1</v>
          </cell>
        </row>
        <row r="3341">
          <cell r="D3341">
            <v>41993</v>
          </cell>
          <cell r="U3341">
            <v>0</v>
          </cell>
          <cell r="Z3341">
            <v>1</v>
          </cell>
        </row>
        <row r="3342">
          <cell r="D3342">
            <v>41993</v>
          </cell>
          <cell r="U3342">
            <v>1</v>
          </cell>
          <cell r="Z3342">
            <v>0</v>
          </cell>
        </row>
        <row r="3343">
          <cell r="D3343">
            <v>41993</v>
          </cell>
          <cell r="U3343">
            <v>0</v>
          </cell>
          <cell r="Z3343">
            <v>1</v>
          </cell>
        </row>
        <row r="3344">
          <cell r="D3344">
            <v>41993</v>
          </cell>
          <cell r="U3344">
            <v>3</v>
          </cell>
          <cell r="Z3344">
            <v>0</v>
          </cell>
        </row>
        <row r="3345">
          <cell r="D3345">
            <v>41993</v>
          </cell>
          <cell r="U3345">
            <v>0</v>
          </cell>
          <cell r="Z3345">
            <v>1</v>
          </cell>
        </row>
        <row r="3346">
          <cell r="D3346">
            <v>41993</v>
          </cell>
          <cell r="U3346">
            <v>0</v>
          </cell>
          <cell r="Z3346">
            <v>1</v>
          </cell>
        </row>
        <row r="3347">
          <cell r="D3347">
            <v>41993</v>
          </cell>
          <cell r="U3347">
            <v>0</v>
          </cell>
          <cell r="Z3347">
            <v>1</v>
          </cell>
        </row>
        <row r="3348">
          <cell r="D3348">
            <v>41993</v>
          </cell>
          <cell r="U3348">
            <v>0</v>
          </cell>
          <cell r="Z3348">
            <v>1</v>
          </cell>
        </row>
        <row r="3349">
          <cell r="D3349">
            <v>41993</v>
          </cell>
          <cell r="U3349">
            <v>3</v>
          </cell>
          <cell r="Z3349">
            <v>0</v>
          </cell>
        </row>
        <row r="3350">
          <cell r="D3350">
            <v>41993</v>
          </cell>
          <cell r="U3350">
            <v>3</v>
          </cell>
          <cell r="Z3350">
            <v>0</v>
          </cell>
        </row>
        <row r="3351">
          <cell r="D3351">
            <v>41993</v>
          </cell>
          <cell r="U3351">
            <v>2</v>
          </cell>
          <cell r="Z3351">
            <v>0</v>
          </cell>
        </row>
        <row r="3352">
          <cell r="D3352">
            <v>41993</v>
          </cell>
          <cell r="U3352">
            <v>2</v>
          </cell>
          <cell r="Z3352">
            <v>0</v>
          </cell>
        </row>
        <row r="3353">
          <cell r="D3353">
            <v>41993</v>
          </cell>
          <cell r="U3353">
            <v>3</v>
          </cell>
          <cell r="Z3353">
            <v>0</v>
          </cell>
        </row>
        <row r="3354">
          <cell r="D3354">
            <v>41994</v>
          </cell>
          <cell r="U3354">
            <v>0</v>
          </cell>
          <cell r="Z3354">
            <v>1</v>
          </cell>
        </row>
        <row r="3355">
          <cell r="D3355">
            <v>41994</v>
          </cell>
          <cell r="U3355">
            <v>0</v>
          </cell>
          <cell r="Z3355">
            <v>1</v>
          </cell>
        </row>
        <row r="3356">
          <cell r="D3356">
            <v>41994</v>
          </cell>
          <cell r="U3356">
            <v>0</v>
          </cell>
          <cell r="Z3356">
            <v>1</v>
          </cell>
        </row>
        <row r="3357">
          <cell r="D3357">
            <v>41994</v>
          </cell>
          <cell r="U3357">
            <v>1</v>
          </cell>
          <cell r="Z3357">
            <v>0</v>
          </cell>
        </row>
        <row r="3358">
          <cell r="D3358">
            <v>41994</v>
          </cell>
          <cell r="U3358">
            <v>0</v>
          </cell>
          <cell r="Z3358">
            <v>1</v>
          </cell>
        </row>
        <row r="3359">
          <cell r="D3359">
            <v>41994</v>
          </cell>
          <cell r="U3359">
            <v>2</v>
          </cell>
          <cell r="Z3359">
            <v>0</v>
          </cell>
        </row>
        <row r="3360">
          <cell r="D3360">
            <v>41994</v>
          </cell>
          <cell r="U3360">
            <v>3</v>
          </cell>
          <cell r="Z3360">
            <v>0</v>
          </cell>
        </row>
        <row r="3361">
          <cell r="D3361">
            <v>41994</v>
          </cell>
          <cell r="U3361">
            <v>2</v>
          </cell>
          <cell r="Z3361">
            <v>0</v>
          </cell>
        </row>
        <row r="3362">
          <cell r="D3362">
            <v>41994</v>
          </cell>
          <cell r="U3362">
            <v>3</v>
          </cell>
          <cell r="Z3362">
            <v>0</v>
          </cell>
        </row>
        <row r="3363">
          <cell r="D3363">
            <v>41994</v>
          </cell>
          <cell r="U3363">
            <v>0</v>
          </cell>
          <cell r="Z3363">
            <v>1</v>
          </cell>
        </row>
        <row r="3364">
          <cell r="D3364">
            <v>41994</v>
          </cell>
          <cell r="U3364">
            <v>3</v>
          </cell>
          <cell r="Z3364">
            <v>0</v>
          </cell>
        </row>
        <row r="3365">
          <cell r="D3365">
            <v>41994</v>
          </cell>
          <cell r="U3365">
            <v>0</v>
          </cell>
          <cell r="Z3365">
            <v>1</v>
          </cell>
        </row>
        <row r="3366">
          <cell r="D3366">
            <v>41994</v>
          </cell>
          <cell r="U3366">
            <v>2</v>
          </cell>
          <cell r="Z3366">
            <v>0</v>
          </cell>
        </row>
        <row r="3367">
          <cell r="D3367">
            <v>41994</v>
          </cell>
          <cell r="U3367">
            <v>0</v>
          </cell>
          <cell r="Z3367">
            <v>1</v>
          </cell>
        </row>
        <row r="3368">
          <cell r="D3368">
            <v>41994</v>
          </cell>
          <cell r="U3368">
            <v>0</v>
          </cell>
          <cell r="Z3368">
            <v>1</v>
          </cell>
        </row>
        <row r="3369">
          <cell r="D3369">
            <v>41994</v>
          </cell>
          <cell r="U3369">
            <v>1</v>
          </cell>
          <cell r="Z3369">
            <v>0</v>
          </cell>
        </row>
        <row r="3370">
          <cell r="D3370">
            <v>41994</v>
          </cell>
          <cell r="U3370">
            <v>0</v>
          </cell>
          <cell r="Z3370">
            <v>1</v>
          </cell>
        </row>
        <row r="3371">
          <cell r="D3371">
            <v>41994</v>
          </cell>
          <cell r="U3371">
            <v>0</v>
          </cell>
          <cell r="Z3371">
            <v>1</v>
          </cell>
        </row>
        <row r="3372">
          <cell r="D3372">
            <v>41994</v>
          </cell>
          <cell r="U3372">
            <v>0</v>
          </cell>
          <cell r="Z3372">
            <v>1</v>
          </cell>
        </row>
        <row r="3373">
          <cell r="D3373">
            <v>41994</v>
          </cell>
          <cell r="U3373">
            <v>3</v>
          </cell>
          <cell r="Z3373">
            <v>0</v>
          </cell>
        </row>
        <row r="3374">
          <cell r="D3374">
            <v>41994</v>
          </cell>
          <cell r="U3374">
            <v>0</v>
          </cell>
          <cell r="Z3374">
            <v>1</v>
          </cell>
        </row>
        <row r="3375">
          <cell r="D3375">
            <v>41994</v>
          </cell>
          <cell r="U3375">
            <v>0</v>
          </cell>
          <cell r="Z3375">
            <v>1</v>
          </cell>
        </row>
        <row r="3376">
          <cell r="D3376">
            <v>41994</v>
          </cell>
          <cell r="U3376">
            <v>3</v>
          </cell>
          <cell r="Z3376">
            <v>0</v>
          </cell>
        </row>
        <row r="3377">
          <cell r="D3377">
            <v>41994</v>
          </cell>
          <cell r="U3377">
            <v>1</v>
          </cell>
          <cell r="Z3377">
            <v>0</v>
          </cell>
        </row>
        <row r="3378">
          <cell r="D3378">
            <v>41994</v>
          </cell>
          <cell r="U3378">
            <v>0</v>
          </cell>
          <cell r="Z3378">
            <v>1</v>
          </cell>
        </row>
        <row r="3379">
          <cell r="D3379">
            <v>41994</v>
          </cell>
          <cell r="U3379">
            <v>0</v>
          </cell>
          <cell r="Z3379">
            <v>1</v>
          </cell>
        </row>
        <row r="3380">
          <cell r="D3380">
            <v>41994</v>
          </cell>
          <cell r="U3380">
            <v>0</v>
          </cell>
          <cell r="Z3380">
            <v>1</v>
          </cell>
        </row>
        <row r="3381">
          <cell r="D3381">
            <v>41994</v>
          </cell>
          <cell r="U3381">
            <v>0</v>
          </cell>
          <cell r="Z3381">
            <v>1</v>
          </cell>
        </row>
        <row r="3382">
          <cell r="D3382">
            <v>41994</v>
          </cell>
          <cell r="U3382">
            <v>3</v>
          </cell>
          <cell r="Z3382">
            <v>0</v>
          </cell>
        </row>
        <row r="3383">
          <cell r="D3383">
            <v>41994</v>
          </cell>
          <cell r="U3383">
            <v>0</v>
          </cell>
          <cell r="Z3383">
            <v>1</v>
          </cell>
        </row>
        <row r="3384">
          <cell r="D3384">
            <v>41994</v>
          </cell>
          <cell r="U3384">
            <v>0</v>
          </cell>
          <cell r="Z3384">
            <v>1</v>
          </cell>
        </row>
        <row r="3385">
          <cell r="D3385">
            <v>41994</v>
          </cell>
          <cell r="U3385">
            <v>3</v>
          </cell>
          <cell r="Z3385">
            <v>0</v>
          </cell>
        </row>
        <row r="3386">
          <cell r="D3386">
            <v>41994</v>
          </cell>
          <cell r="U3386">
            <v>0</v>
          </cell>
          <cell r="Z3386">
            <v>1</v>
          </cell>
        </row>
        <row r="3387">
          <cell r="D3387">
            <v>41994</v>
          </cell>
          <cell r="U3387">
            <v>0</v>
          </cell>
          <cell r="Z3387">
            <v>1</v>
          </cell>
        </row>
        <row r="3388">
          <cell r="D3388">
            <v>41994</v>
          </cell>
          <cell r="U3388">
            <v>3</v>
          </cell>
          <cell r="Z3388">
            <v>0</v>
          </cell>
        </row>
        <row r="3389">
          <cell r="D3389">
            <v>41994</v>
          </cell>
          <cell r="U3389">
            <v>0</v>
          </cell>
          <cell r="Z3389">
            <v>1</v>
          </cell>
        </row>
        <row r="3390">
          <cell r="D3390">
            <v>41994</v>
          </cell>
          <cell r="U3390">
            <v>0</v>
          </cell>
          <cell r="Z3390">
            <v>1</v>
          </cell>
        </row>
        <row r="3391">
          <cell r="D3391">
            <v>41994</v>
          </cell>
          <cell r="U3391">
            <v>0</v>
          </cell>
          <cell r="Z3391">
            <v>1</v>
          </cell>
        </row>
        <row r="3392">
          <cell r="D3392">
            <v>41994</v>
          </cell>
          <cell r="U3392">
            <v>0</v>
          </cell>
          <cell r="Z3392">
            <v>1</v>
          </cell>
        </row>
        <row r="3393">
          <cell r="D3393">
            <v>41994</v>
          </cell>
          <cell r="U3393">
            <v>0</v>
          </cell>
          <cell r="Z3393">
            <v>1</v>
          </cell>
        </row>
        <row r="3394">
          <cell r="D3394">
            <v>41994</v>
          </cell>
          <cell r="U3394">
            <v>3</v>
          </cell>
          <cell r="Z3394">
            <v>0</v>
          </cell>
        </row>
        <row r="3395">
          <cell r="D3395">
            <v>41994</v>
          </cell>
          <cell r="U3395">
            <v>1</v>
          </cell>
          <cell r="Z3395">
            <v>0</v>
          </cell>
        </row>
        <row r="3396">
          <cell r="D3396">
            <v>41994</v>
          </cell>
          <cell r="U3396">
            <v>3</v>
          </cell>
          <cell r="Z3396">
            <v>0</v>
          </cell>
        </row>
        <row r="3397">
          <cell r="D3397">
            <v>41994</v>
          </cell>
          <cell r="U3397">
            <v>1</v>
          </cell>
          <cell r="Z3397">
            <v>0</v>
          </cell>
        </row>
        <row r="3398">
          <cell r="D3398">
            <v>41994</v>
          </cell>
          <cell r="U3398">
            <v>1</v>
          </cell>
          <cell r="Z3398">
            <v>0</v>
          </cell>
        </row>
        <row r="3399">
          <cell r="D3399">
            <v>41994</v>
          </cell>
          <cell r="U3399">
            <v>3</v>
          </cell>
          <cell r="Z3399">
            <v>0</v>
          </cell>
        </row>
        <row r="3400">
          <cell r="D3400">
            <v>41994</v>
          </cell>
          <cell r="U3400">
            <v>2</v>
          </cell>
          <cell r="Z3400">
            <v>0</v>
          </cell>
        </row>
        <row r="3401">
          <cell r="D3401">
            <v>41994</v>
          </cell>
          <cell r="U3401">
            <v>0</v>
          </cell>
          <cell r="Z3401">
            <v>1</v>
          </cell>
        </row>
        <row r="3402">
          <cell r="D3402">
            <v>41994</v>
          </cell>
          <cell r="U3402">
            <v>2</v>
          </cell>
          <cell r="Z3402">
            <v>0</v>
          </cell>
        </row>
        <row r="3403">
          <cell r="D3403">
            <v>41994</v>
          </cell>
          <cell r="U3403">
            <v>3</v>
          </cell>
          <cell r="Z3403">
            <v>0</v>
          </cell>
        </row>
        <row r="3404">
          <cell r="D3404">
            <v>41994</v>
          </cell>
          <cell r="U3404">
            <v>0</v>
          </cell>
          <cell r="Z3404">
            <v>1</v>
          </cell>
        </row>
        <row r="3405">
          <cell r="D3405">
            <v>41994</v>
          </cell>
          <cell r="U3405">
            <v>3</v>
          </cell>
          <cell r="Z3405">
            <v>0</v>
          </cell>
        </row>
        <row r="3406">
          <cell r="D3406">
            <v>41994</v>
          </cell>
          <cell r="U3406">
            <v>0</v>
          </cell>
          <cell r="Z3406">
            <v>1</v>
          </cell>
        </row>
        <row r="3407">
          <cell r="D3407">
            <v>41994</v>
          </cell>
          <cell r="U3407">
            <v>0</v>
          </cell>
          <cell r="Z3407">
            <v>1</v>
          </cell>
        </row>
        <row r="3408">
          <cell r="D3408">
            <v>41994</v>
          </cell>
          <cell r="U3408">
            <v>2</v>
          </cell>
          <cell r="Z3408">
            <v>0</v>
          </cell>
        </row>
        <row r="3409">
          <cell r="D3409">
            <v>41994</v>
          </cell>
          <cell r="U3409">
            <v>0</v>
          </cell>
          <cell r="Z3409">
            <v>1</v>
          </cell>
        </row>
        <row r="3410">
          <cell r="D3410">
            <v>41994</v>
          </cell>
          <cell r="U3410">
            <v>2</v>
          </cell>
          <cell r="Z3410">
            <v>0</v>
          </cell>
        </row>
        <row r="3411">
          <cell r="D3411">
            <v>41994</v>
          </cell>
          <cell r="U3411">
            <v>3</v>
          </cell>
          <cell r="Z3411">
            <v>0</v>
          </cell>
        </row>
        <row r="3412">
          <cell r="D3412">
            <v>41994</v>
          </cell>
          <cell r="U3412">
            <v>3</v>
          </cell>
          <cell r="Z3412">
            <v>0</v>
          </cell>
        </row>
        <row r="3413">
          <cell r="D3413">
            <v>41994</v>
          </cell>
          <cell r="U3413">
            <v>0</v>
          </cell>
          <cell r="Z3413">
            <v>1</v>
          </cell>
        </row>
        <row r="3414">
          <cell r="D3414">
            <v>41994</v>
          </cell>
          <cell r="U3414">
            <v>0</v>
          </cell>
          <cell r="Z3414">
            <v>1</v>
          </cell>
        </row>
        <row r="3415">
          <cell r="D3415">
            <v>41994</v>
          </cell>
          <cell r="U3415">
            <v>0</v>
          </cell>
          <cell r="Z3415">
            <v>1</v>
          </cell>
        </row>
        <row r="3416">
          <cell r="D3416">
            <v>41994</v>
          </cell>
          <cell r="U3416">
            <v>0</v>
          </cell>
          <cell r="Z3416">
            <v>1</v>
          </cell>
        </row>
        <row r="3417">
          <cell r="D3417">
            <v>41994</v>
          </cell>
          <cell r="U3417">
            <v>0</v>
          </cell>
          <cell r="Z3417">
            <v>1</v>
          </cell>
        </row>
        <row r="3418">
          <cell r="D3418">
            <v>41994</v>
          </cell>
          <cell r="U3418">
            <v>0</v>
          </cell>
          <cell r="Z3418">
            <v>1</v>
          </cell>
        </row>
        <row r="3419">
          <cell r="D3419">
            <v>41994</v>
          </cell>
          <cell r="U3419">
            <v>0</v>
          </cell>
          <cell r="Z3419">
            <v>1</v>
          </cell>
        </row>
        <row r="3420">
          <cell r="D3420">
            <v>41994</v>
          </cell>
          <cell r="U3420">
            <v>0</v>
          </cell>
          <cell r="Z3420">
            <v>1</v>
          </cell>
        </row>
        <row r="3421">
          <cell r="D3421">
            <v>41994</v>
          </cell>
          <cell r="U3421">
            <v>0</v>
          </cell>
          <cell r="Z3421">
            <v>1</v>
          </cell>
        </row>
        <row r="3422">
          <cell r="D3422">
            <v>41994</v>
          </cell>
          <cell r="U3422">
            <v>3</v>
          </cell>
          <cell r="Z3422">
            <v>0</v>
          </cell>
        </row>
        <row r="3423">
          <cell r="D3423">
            <v>41994</v>
          </cell>
          <cell r="U3423">
            <v>2</v>
          </cell>
          <cell r="Z3423">
            <v>0</v>
          </cell>
        </row>
        <row r="3424">
          <cell r="D3424">
            <v>41994</v>
          </cell>
          <cell r="U3424">
            <v>0</v>
          </cell>
          <cell r="Z3424">
            <v>1</v>
          </cell>
        </row>
        <row r="3425">
          <cell r="D3425">
            <v>41994</v>
          </cell>
          <cell r="U3425">
            <v>0</v>
          </cell>
          <cell r="Z3425">
            <v>1</v>
          </cell>
        </row>
        <row r="3426">
          <cell r="D3426">
            <v>41994</v>
          </cell>
          <cell r="U3426">
            <v>0</v>
          </cell>
          <cell r="Z3426">
            <v>1</v>
          </cell>
        </row>
        <row r="3427">
          <cell r="D3427">
            <v>41994</v>
          </cell>
          <cell r="U3427">
            <v>0</v>
          </cell>
          <cell r="Z3427">
            <v>1</v>
          </cell>
        </row>
        <row r="3428">
          <cell r="D3428">
            <v>41994</v>
          </cell>
          <cell r="U3428">
            <v>0</v>
          </cell>
          <cell r="Z3428">
            <v>1</v>
          </cell>
        </row>
        <row r="3429">
          <cell r="D3429">
            <v>41994</v>
          </cell>
          <cell r="U3429">
            <v>0</v>
          </cell>
          <cell r="Z3429">
            <v>1</v>
          </cell>
        </row>
        <row r="3430">
          <cell r="D3430">
            <v>41994</v>
          </cell>
          <cell r="U3430">
            <v>1</v>
          </cell>
          <cell r="Z3430">
            <v>0</v>
          </cell>
        </row>
        <row r="3431">
          <cell r="D3431">
            <v>41994</v>
          </cell>
          <cell r="U3431">
            <v>0</v>
          </cell>
          <cell r="Z3431">
            <v>1</v>
          </cell>
        </row>
        <row r="3432">
          <cell r="D3432">
            <v>41994</v>
          </cell>
          <cell r="U3432">
            <v>0</v>
          </cell>
          <cell r="Z3432">
            <v>1</v>
          </cell>
        </row>
        <row r="3433">
          <cell r="D3433">
            <v>41994</v>
          </cell>
          <cell r="U3433">
            <v>0</v>
          </cell>
          <cell r="Z3433">
            <v>1</v>
          </cell>
        </row>
        <row r="3434">
          <cell r="D3434">
            <v>41994</v>
          </cell>
          <cell r="U3434">
            <v>0</v>
          </cell>
          <cell r="Z3434">
            <v>1</v>
          </cell>
        </row>
        <row r="3435">
          <cell r="D3435">
            <v>41994</v>
          </cell>
          <cell r="U3435">
            <v>0</v>
          </cell>
          <cell r="Z3435">
            <v>1</v>
          </cell>
        </row>
        <row r="3436">
          <cell r="D3436">
            <v>41994</v>
          </cell>
          <cell r="U3436">
            <v>0</v>
          </cell>
          <cell r="Z3436">
            <v>1</v>
          </cell>
        </row>
        <row r="3437">
          <cell r="D3437">
            <v>41994</v>
          </cell>
          <cell r="U3437">
            <v>0</v>
          </cell>
          <cell r="Z3437">
            <v>1</v>
          </cell>
        </row>
        <row r="3438">
          <cell r="D3438">
            <v>41994</v>
          </cell>
          <cell r="U3438">
            <v>0</v>
          </cell>
          <cell r="Z3438">
            <v>1</v>
          </cell>
        </row>
        <row r="3439">
          <cell r="D3439">
            <v>41994</v>
          </cell>
          <cell r="U3439">
            <v>0</v>
          </cell>
          <cell r="Z3439">
            <v>1</v>
          </cell>
        </row>
        <row r="3440">
          <cell r="D3440">
            <v>41994</v>
          </cell>
          <cell r="U3440">
            <v>0</v>
          </cell>
          <cell r="Z3440">
            <v>1</v>
          </cell>
        </row>
        <row r="3441">
          <cell r="D3441">
            <v>41994</v>
          </cell>
          <cell r="U3441">
            <v>0</v>
          </cell>
          <cell r="Z3441">
            <v>1</v>
          </cell>
        </row>
        <row r="3442">
          <cell r="D3442">
            <v>41994</v>
          </cell>
          <cell r="U3442">
            <v>0</v>
          </cell>
          <cell r="Z3442">
            <v>1</v>
          </cell>
        </row>
        <row r="3443">
          <cell r="D3443">
            <v>41994</v>
          </cell>
          <cell r="U3443">
            <v>3</v>
          </cell>
          <cell r="Z3443">
            <v>0</v>
          </cell>
        </row>
        <row r="3444">
          <cell r="D3444">
            <v>41994</v>
          </cell>
          <cell r="U3444">
            <v>2</v>
          </cell>
          <cell r="Z3444">
            <v>0</v>
          </cell>
        </row>
        <row r="3445">
          <cell r="D3445">
            <v>41994</v>
          </cell>
          <cell r="U3445">
            <v>2</v>
          </cell>
          <cell r="Z3445">
            <v>0</v>
          </cell>
        </row>
        <row r="3446">
          <cell r="D3446">
            <v>41994</v>
          </cell>
          <cell r="U3446">
            <v>2</v>
          </cell>
          <cell r="Z3446">
            <v>0</v>
          </cell>
        </row>
        <row r="3447">
          <cell r="D3447">
            <v>41994</v>
          </cell>
          <cell r="U3447">
            <v>2</v>
          </cell>
          <cell r="Z3447">
            <v>0</v>
          </cell>
        </row>
        <row r="3448">
          <cell r="D3448">
            <v>41994</v>
          </cell>
          <cell r="U3448">
            <v>0</v>
          </cell>
          <cell r="Z3448">
            <v>1</v>
          </cell>
        </row>
        <row r="3449">
          <cell r="D3449">
            <v>41994</v>
          </cell>
          <cell r="U3449">
            <v>0</v>
          </cell>
          <cell r="Z3449">
            <v>1</v>
          </cell>
        </row>
        <row r="3450">
          <cell r="D3450">
            <v>41994</v>
          </cell>
          <cell r="U3450">
            <v>0</v>
          </cell>
          <cell r="Z3450">
            <v>1</v>
          </cell>
        </row>
        <row r="3451">
          <cell r="D3451">
            <v>41994</v>
          </cell>
          <cell r="U3451">
            <v>0</v>
          </cell>
          <cell r="Z3451">
            <v>1</v>
          </cell>
        </row>
        <row r="3452">
          <cell r="D3452">
            <v>41994</v>
          </cell>
          <cell r="U3452">
            <v>2</v>
          </cell>
          <cell r="Z3452">
            <v>0</v>
          </cell>
        </row>
        <row r="3453">
          <cell r="D3453">
            <v>41994</v>
          </cell>
          <cell r="U3453">
            <v>3</v>
          </cell>
          <cell r="Z3453">
            <v>0</v>
          </cell>
        </row>
        <row r="3454">
          <cell r="D3454">
            <v>41994</v>
          </cell>
          <cell r="U3454">
            <v>0</v>
          </cell>
          <cell r="Z3454">
            <v>1</v>
          </cell>
        </row>
        <row r="3455">
          <cell r="D3455">
            <v>41994</v>
          </cell>
          <cell r="U3455">
            <v>0</v>
          </cell>
          <cell r="Z3455">
            <v>1</v>
          </cell>
        </row>
        <row r="3456">
          <cell r="D3456">
            <v>41994</v>
          </cell>
          <cell r="U3456">
            <v>0</v>
          </cell>
          <cell r="Z3456">
            <v>1</v>
          </cell>
        </row>
        <row r="3457">
          <cell r="D3457">
            <v>41994</v>
          </cell>
          <cell r="U3457">
            <v>0</v>
          </cell>
          <cell r="Z3457">
            <v>1</v>
          </cell>
        </row>
        <row r="3458">
          <cell r="D3458">
            <v>41994</v>
          </cell>
          <cell r="U3458">
            <v>0</v>
          </cell>
          <cell r="Z3458">
            <v>1</v>
          </cell>
        </row>
        <row r="3459">
          <cell r="D3459">
            <v>41994</v>
          </cell>
          <cell r="U3459">
            <v>0</v>
          </cell>
          <cell r="Z3459">
            <v>1</v>
          </cell>
        </row>
        <row r="3460">
          <cell r="D3460">
            <v>41994</v>
          </cell>
          <cell r="U3460">
            <v>0</v>
          </cell>
          <cell r="Z3460">
            <v>1</v>
          </cell>
        </row>
        <row r="3461">
          <cell r="D3461">
            <v>41994</v>
          </cell>
          <cell r="U3461">
            <v>0</v>
          </cell>
          <cell r="Z3461">
            <v>1</v>
          </cell>
        </row>
        <row r="3462">
          <cell r="D3462">
            <v>41994</v>
          </cell>
          <cell r="U3462">
            <v>0</v>
          </cell>
          <cell r="Z3462">
            <v>1</v>
          </cell>
        </row>
        <row r="3463">
          <cell r="D3463">
            <v>41994</v>
          </cell>
          <cell r="U3463">
            <v>1</v>
          </cell>
          <cell r="Z3463">
            <v>0</v>
          </cell>
        </row>
        <row r="3464">
          <cell r="D3464">
            <v>41994</v>
          </cell>
          <cell r="U3464">
            <v>1</v>
          </cell>
          <cell r="Z3464">
            <v>0</v>
          </cell>
        </row>
        <row r="3465">
          <cell r="D3465">
            <v>41994</v>
          </cell>
          <cell r="U3465">
            <v>0</v>
          </cell>
          <cell r="Z3465">
            <v>1</v>
          </cell>
        </row>
        <row r="3466">
          <cell r="D3466">
            <v>41994</v>
          </cell>
          <cell r="U3466">
            <v>2</v>
          </cell>
          <cell r="Z3466">
            <v>0</v>
          </cell>
        </row>
        <row r="3467">
          <cell r="D3467">
            <v>41994</v>
          </cell>
          <cell r="U3467">
            <v>0</v>
          </cell>
          <cell r="Z3467">
            <v>1</v>
          </cell>
        </row>
        <row r="3468">
          <cell r="D3468">
            <v>41994</v>
          </cell>
          <cell r="U3468">
            <v>0</v>
          </cell>
          <cell r="Z3468">
            <v>1</v>
          </cell>
        </row>
        <row r="3469">
          <cell r="D3469">
            <v>41994</v>
          </cell>
          <cell r="U3469">
            <v>0</v>
          </cell>
          <cell r="Z3469">
            <v>1</v>
          </cell>
        </row>
        <row r="3470">
          <cell r="D3470">
            <v>41994</v>
          </cell>
          <cell r="U3470">
            <v>2</v>
          </cell>
          <cell r="Z3470">
            <v>0</v>
          </cell>
        </row>
        <row r="3471">
          <cell r="D3471">
            <v>41994</v>
          </cell>
          <cell r="U3471">
            <v>0</v>
          </cell>
          <cell r="Z3471">
            <v>1</v>
          </cell>
        </row>
        <row r="3472">
          <cell r="D3472">
            <v>41994</v>
          </cell>
          <cell r="U3472">
            <v>0</v>
          </cell>
          <cell r="Z3472">
            <v>1</v>
          </cell>
        </row>
        <row r="3473">
          <cell r="D3473">
            <v>41994</v>
          </cell>
          <cell r="U3473">
            <v>0</v>
          </cell>
          <cell r="Z3473">
            <v>1</v>
          </cell>
        </row>
        <row r="3474">
          <cell r="D3474">
            <v>41994</v>
          </cell>
          <cell r="U3474">
            <v>2</v>
          </cell>
          <cell r="Z3474">
            <v>0</v>
          </cell>
        </row>
        <row r="3475">
          <cell r="D3475">
            <v>41994</v>
          </cell>
          <cell r="U3475">
            <v>0</v>
          </cell>
          <cell r="Z3475">
            <v>1</v>
          </cell>
        </row>
        <row r="3476">
          <cell r="D3476">
            <v>41994</v>
          </cell>
          <cell r="U3476">
            <v>0</v>
          </cell>
          <cell r="Z3476">
            <v>1</v>
          </cell>
        </row>
        <row r="3477">
          <cell r="D3477">
            <v>41994</v>
          </cell>
          <cell r="U3477">
            <v>0</v>
          </cell>
          <cell r="Z3477">
            <v>1</v>
          </cell>
        </row>
        <row r="3478">
          <cell r="D3478">
            <v>41994</v>
          </cell>
          <cell r="U3478">
            <v>2</v>
          </cell>
          <cell r="Z3478">
            <v>0</v>
          </cell>
        </row>
        <row r="3479">
          <cell r="D3479">
            <v>41994</v>
          </cell>
          <cell r="U3479">
            <v>0</v>
          </cell>
          <cell r="Z3479">
            <v>1</v>
          </cell>
        </row>
        <row r="3480">
          <cell r="D3480">
            <v>41994</v>
          </cell>
          <cell r="U3480">
            <v>0</v>
          </cell>
          <cell r="Z3480">
            <v>1</v>
          </cell>
        </row>
        <row r="3481">
          <cell r="D3481">
            <v>41994</v>
          </cell>
          <cell r="U3481">
            <v>0</v>
          </cell>
          <cell r="Z3481">
            <v>1</v>
          </cell>
        </row>
        <row r="3482">
          <cell r="D3482">
            <v>41994</v>
          </cell>
          <cell r="U3482">
            <v>2</v>
          </cell>
          <cell r="Z3482">
            <v>0</v>
          </cell>
        </row>
        <row r="3483">
          <cell r="D3483">
            <v>41994</v>
          </cell>
          <cell r="U3483">
            <v>0</v>
          </cell>
          <cell r="Z3483">
            <v>1</v>
          </cell>
        </row>
        <row r="3484">
          <cell r="D3484">
            <v>41994</v>
          </cell>
          <cell r="U3484">
            <v>0</v>
          </cell>
          <cell r="Z3484">
            <v>1</v>
          </cell>
        </row>
        <row r="3485">
          <cell r="D3485">
            <v>41994</v>
          </cell>
          <cell r="U3485">
            <v>0</v>
          </cell>
          <cell r="Z3485">
            <v>1</v>
          </cell>
        </row>
        <row r="3486">
          <cell r="D3486">
            <v>41994</v>
          </cell>
          <cell r="U3486">
            <v>0</v>
          </cell>
          <cell r="Z3486">
            <v>1</v>
          </cell>
        </row>
        <row r="3487">
          <cell r="D3487">
            <v>41994</v>
          </cell>
          <cell r="U3487">
            <v>3</v>
          </cell>
          <cell r="Z3487">
            <v>0</v>
          </cell>
        </row>
        <row r="3488">
          <cell r="D3488">
            <v>41994</v>
          </cell>
          <cell r="U3488">
            <v>0</v>
          </cell>
          <cell r="Z3488">
            <v>1</v>
          </cell>
        </row>
        <row r="3489">
          <cell r="D3489">
            <v>41994</v>
          </cell>
          <cell r="U3489">
            <v>1</v>
          </cell>
          <cell r="Z3489">
            <v>0</v>
          </cell>
        </row>
        <row r="3490">
          <cell r="D3490">
            <v>41994</v>
          </cell>
          <cell r="U3490">
            <v>3</v>
          </cell>
          <cell r="Z3490">
            <v>0</v>
          </cell>
        </row>
        <row r="3491">
          <cell r="D3491">
            <v>41994</v>
          </cell>
          <cell r="U3491">
            <v>3</v>
          </cell>
          <cell r="Z3491">
            <v>0</v>
          </cell>
        </row>
        <row r="3492">
          <cell r="D3492">
            <v>41994</v>
          </cell>
          <cell r="U3492">
            <v>0</v>
          </cell>
          <cell r="Z3492">
            <v>1</v>
          </cell>
        </row>
        <row r="3493">
          <cell r="D3493">
            <v>41994</v>
          </cell>
          <cell r="U3493">
            <v>0</v>
          </cell>
          <cell r="Z3493">
            <v>1</v>
          </cell>
        </row>
        <row r="3494">
          <cell r="D3494">
            <v>41994</v>
          </cell>
          <cell r="U3494">
            <v>0</v>
          </cell>
          <cell r="Z3494">
            <v>1</v>
          </cell>
        </row>
        <row r="3495">
          <cell r="D3495">
            <v>41994</v>
          </cell>
          <cell r="U3495">
            <v>0</v>
          </cell>
          <cell r="Z3495">
            <v>1</v>
          </cell>
        </row>
        <row r="3496">
          <cell r="D3496">
            <v>41994</v>
          </cell>
          <cell r="U3496">
            <v>0</v>
          </cell>
          <cell r="Z3496">
            <v>1</v>
          </cell>
        </row>
        <row r="3497">
          <cell r="D3497">
            <v>41994</v>
          </cell>
          <cell r="U3497">
            <v>0</v>
          </cell>
          <cell r="Z3497">
            <v>1</v>
          </cell>
        </row>
        <row r="3498">
          <cell r="D3498">
            <v>41994</v>
          </cell>
          <cell r="U3498">
            <v>0</v>
          </cell>
          <cell r="Z3498">
            <v>1</v>
          </cell>
        </row>
        <row r="3499">
          <cell r="D3499">
            <v>41994</v>
          </cell>
          <cell r="U3499">
            <v>1</v>
          </cell>
          <cell r="Z3499">
            <v>0</v>
          </cell>
        </row>
        <row r="3500">
          <cell r="D3500">
            <v>41995</v>
          </cell>
          <cell r="U3500">
            <v>1</v>
          </cell>
          <cell r="Z3500">
            <v>0</v>
          </cell>
        </row>
        <row r="3501">
          <cell r="D3501">
            <v>41995</v>
          </cell>
          <cell r="U3501">
            <v>2</v>
          </cell>
          <cell r="Z3501">
            <v>0</v>
          </cell>
        </row>
        <row r="3502">
          <cell r="D3502">
            <v>41995</v>
          </cell>
          <cell r="U3502">
            <v>0</v>
          </cell>
          <cell r="Z3502">
            <v>1</v>
          </cell>
        </row>
        <row r="3503">
          <cell r="D3503">
            <v>41995</v>
          </cell>
          <cell r="U3503">
            <v>0</v>
          </cell>
          <cell r="Z3503">
            <v>1</v>
          </cell>
        </row>
        <row r="3504">
          <cell r="D3504">
            <v>41995</v>
          </cell>
          <cell r="U3504">
            <v>0</v>
          </cell>
          <cell r="Z3504">
            <v>1</v>
          </cell>
        </row>
        <row r="3505">
          <cell r="D3505">
            <v>41995</v>
          </cell>
          <cell r="U3505">
            <v>3</v>
          </cell>
          <cell r="Z3505">
            <v>0</v>
          </cell>
        </row>
        <row r="3506">
          <cell r="D3506">
            <v>41995</v>
          </cell>
          <cell r="U3506">
            <v>2</v>
          </cell>
          <cell r="Z3506">
            <v>0</v>
          </cell>
        </row>
        <row r="3507">
          <cell r="D3507">
            <v>41995</v>
          </cell>
          <cell r="U3507">
            <v>0</v>
          </cell>
          <cell r="Z3507">
            <v>1</v>
          </cell>
        </row>
        <row r="3508">
          <cell r="D3508">
            <v>41995</v>
          </cell>
          <cell r="U3508">
            <v>0</v>
          </cell>
          <cell r="Z3508">
            <v>1</v>
          </cell>
        </row>
        <row r="3509">
          <cell r="D3509">
            <v>41995</v>
          </cell>
          <cell r="U3509">
            <v>0</v>
          </cell>
          <cell r="Z3509">
            <v>1</v>
          </cell>
        </row>
        <row r="3510">
          <cell r="D3510">
            <v>41995</v>
          </cell>
          <cell r="U3510">
            <v>1</v>
          </cell>
          <cell r="Z3510">
            <v>0</v>
          </cell>
        </row>
        <row r="3511">
          <cell r="D3511">
            <v>41995</v>
          </cell>
          <cell r="U3511">
            <v>1</v>
          </cell>
          <cell r="Z3511">
            <v>0</v>
          </cell>
        </row>
        <row r="3512">
          <cell r="D3512">
            <v>41995</v>
          </cell>
          <cell r="U3512">
            <v>3</v>
          </cell>
          <cell r="Z3512">
            <v>0</v>
          </cell>
        </row>
        <row r="3513">
          <cell r="D3513">
            <v>41995</v>
          </cell>
          <cell r="U3513">
            <v>0</v>
          </cell>
          <cell r="Z3513">
            <v>1</v>
          </cell>
        </row>
        <row r="3514">
          <cell r="D3514">
            <v>41995</v>
          </cell>
          <cell r="U3514">
            <v>0</v>
          </cell>
          <cell r="Z3514">
            <v>1</v>
          </cell>
        </row>
        <row r="3515">
          <cell r="D3515">
            <v>41995</v>
          </cell>
          <cell r="U3515">
            <v>0</v>
          </cell>
          <cell r="Z3515">
            <v>1</v>
          </cell>
        </row>
        <row r="3516">
          <cell r="D3516">
            <v>41995</v>
          </cell>
          <cell r="U3516">
            <v>0</v>
          </cell>
          <cell r="Z3516">
            <v>1</v>
          </cell>
        </row>
        <row r="3517">
          <cell r="D3517">
            <v>41995</v>
          </cell>
          <cell r="U3517">
            <v>0</v>
          </cell>
          <cell r="Z3517">
            <v>1</v>
          </cell>
        </row>
        <row r="3518">
          <cell r="D3518">
            <v>41995</v>
          </cell>
          <cell r="U3518">
            <v>0</v>
          </cell>
          <cell r="Z3518">
            <v>1</v>
          </cell>
        </row>
        <row r="3519">
          <cell r="D3519">
            <v>41995</v>
          </cell>
          <cell r="U3519">
            <v>0</v>
          </cell>
          <cell r="Z3519">
            <v>1</v>
          </cell>
        </row>
        <row r="3520">
          <cell r="D3520">
            <v>41995</v>
          </cell>
          <cell r="U3520">
            <v>0</v>
          </cell>
          <cell r="Z3520">
            <v>1</v>
          </cell>
        </row>
        <row r="3521">
          <cell r="D3521">
            <v>41995</v>
          </cell>
          <cell r="U3521">
            <v>1</v>
          </cell>
          <cell r="Z3521">
            <v>0</v>
          </cell>
        </row>
        <row r="3522">
          <cell r="D3522">
            <v>41995</v>
          </cell>
          <cell r="U3522">
            <v>0</v>
          </cell>
          <cell r="Z3522">
            <v>1</v>
          </cell>
        </row>
        <row r="3523">
          <cell r="D3523">
            <v>41995</v>
          </cell>
          <cell r="U3523">
            <v>2</v>
          </cell>
          <cell r="Z3523">
            <v>0</v>
          </cell>
        </row>
        <row r="3524">
          <cell r="D3524">
            <v>41995</v>
          </cell>
          <cell r="U3524">
            <v>0</v>
          </cell>
          <cell r="Z3524">
            <v>1</v>
          </cell>
        </row>
        <row r="3525">
          <cell r="D3525">
            <v>41995</v>
          </cell>
          <cell r="U3525">
            <v>0</v>
          </cell>
          <cell r="Z3525">
            <v>1</v>
          </cell>
        </row>
        <row r="3526">
          <cell r="D3526">
            <v>41995</v>
          </cell>
          <cell r="U3526">
            <v>3</v>
          </cell>
          <cell r="Z3526">
            <v>0</v>
          </cell>
        </row>
        <row r="3527">
          <cell r="D3527">
            <v>41995</v>
          </cell>
          <cell r="U3527">
            <v>0</v>
          </cell>
          <cell r="Z3527">
            <v>1</v>
          </cell>
        </row>
        <row r="3528">
          <cell r="D3528">
            <v>41995</v>
          </cell>
          <cell r="U3528">
            <v>2</v>
          </cell>
          <cell r="Z3528">
            <v>0</v>
          </cell>
        </row>
        <row r="3529">
          <cell r="D3529">
            <v>41995</v>
          </cell>
          <cell r="U3529">
            <v>0</v>
          </cell>
          <cell r="Z3529">
            <v>1</v>
          </cell>
        </row>
        <row r="3530">
          <cell r="D3530">
            <v>41995</v>
          </cell>
          <cell r="U3530">
            <v>2</v>
          </cell>
          <cell r="Z3530">
            <v>0</v>
          </cell>
        </row>
        <row r="3531">
          <cell r="D3531">
            <v>41995</v>
          </cell>
          <cell r="U3531">
            <v>0</v>
          </cell>
          <cell r="Z3531">
            <v>1</v>
          </cell>
        </row>
        <row r="3532">
          <cell r="D3532">
            <v>41995</v>
          </cell>
          <cell r="U3532">
            <v>1</v>
          </cell>
          <cell r="Z3532">
            <v>0</v>
          </cell>
        </row>
        <row r="3533">
          <cell r="D3533">
            <v>41995</v>
          </cell>
          <cell r="U3533">
            <v>3</v>
          </cell>
          <cell r="Z3533">
            <v>0</v>
          </cell>
        </row>
        <row r="3534">
          <cell r="D3534">
            <v>41995</v>
          </cell>
          <cell r="U3534">
            <v>0</v>
          </cell>
          <cell r="Z3534">
            <v>1</v>
          </cell>
        </row>
        <row r="3535">
          <cell r="D3535">
            <v>41995</v>
          </cell>
          <cell r="U3535">
            <v>0</v>
          </cell>
          <cell r="Z3535">
            <v>1</v>
          </cell>
        </row>
        <row r="3536">
          <cell r="D3536">
            <v>41995</v>
          </cell>
          <cell r="U3536">
            <v>0</v>
          </cell>
          <cell r="Z3536">
            <v>1</v>
          </cell>
        </row>
        <row r="3537">
          <cell r="D3537">
            <v>41995</v>
          </cell>
          <cell r="U3537">
            <v>0</v>
          </cell>
          <cell r="Z3537">
            <v>1</v>
          </cell>
        </row>
        <row r="3538">
          <cell r="D3538">
            <v>41995</v>
          </cell>
          <cell r="U3538">
            <v>0</v>
          </cell>
          <cell r="Z3538">
            <v>1</v>
          </cell>
        </row>
        <row r="3539">
          <cell r="D3539">
            <v>41995</v>
          </cell>
          <cell r="U3539">
            <v>0</v>
          </cell>
          <cell r="Z3539">
            <v>1</v>
          </cell>
        </row>
        <row r="3540">
          <cell r="D3540">
            <v>41995</v>
          </cell>
          <cell r="U3540">
            <v>0</v>
          </cell>
          <cell r="Z3540">
            <v>1</v>
          </cell>
        </row>
        <row r="3541">
          <cell r="D3541">
            <v>41995</v>
          </cell>
          <cell r="U3541">
            <v>0</v>
          </cell>
          <cell r="Z3541">
            <v>1</v>
          </cell>
        </row>
        <row r="3542">
          <cell r="D3542">
            <v>41995</v>
          </cell>
          <cell r="U3542">
            <v>0</v>
          </cell>
          <cell r="Z3542">
            <v>1</v>
          </cell>
        </row>
        <row r="3543">
          <cell r="D3543">
            <v>41995</v>
          </cell>
          <cell r="U3543">
            <v>0</v>
          </cell>
          <cell r="Z3543">
            <v>1</v>
          </cell>
        </row>
        <row r="3544">
          <cell r="D3544">
            <v>41995</v>
          </cell>
          <cell r="U3544">
            <v>0</v>
          </cell>
          <cell r="Z3544">
            <v>1</v>
          </cell>
        </row>
        <row r="3545">
          <cell r="D3545">
            <v>41995</v>
          </cell>
          <cell r="U3545">
            <v>0</v>
          </cell>
          <cell r="Z3545">
            <v>1</v>
          </cell>
        </row>
        <row r="3546">
          <cell r="D3546">
            <v>41995</v>
          </cell>
          <cell r="U3546">
            <v>3</v>
          </cell>
          <cell r="Z3546">
            <v>0</v>
          </cell>
        </row>
        <row r="3547">
          <cell r="D3547">
            <v>41995</v>
          </cell>
          <cell r="U3547">
            <v>2</v>
          </cell>
          <cell r="Z3547">
            <v>0</v>
          </cell>
        </row>
        <row r="3548">
          <cell r="D3548">
            <v>41995</v>
          </cell>
          <cell r="U3548">
            <v>2</v>
          </cell>
          <cell r="Z3548">
            <v>0</v>
          </cell>
        </row>
        <row r="3549">
          <cell r="D3549">
            <v>41995</v>
          </cell>
          <cell r="U3549">
            <v>0</v>
          </cell>
          <cell r="Z3549">
            <v>1</v>
          </cell>
        </row>
        <row r="3550">
          <cell r="D3550">
            <v>41995</v>
          </cell>
          <cell r="U3550">
            <v>0</v>
          </cell>
          <cell r="Z3550">
            <v>1</v>
          </cell>
        </row>
        <row r="3551">
          <cell r="D3551">
            <v>41995</v>
          </cell>
          <cell r="U3551">
            <v>2</v>
          </cell>
          <cell r="Z3551">
            <v>0</v>
          </cell>
        </row>
        <row r="3552">
          <cell r="D3552">
            <v>41995</v>
          </cell>
          <cell r="U3552">
            <v>0</v>
          </cell>
          <cell r="Z3552">
            <v>1</v>
          </cell>
        </row>
        <row r="3553">
          <cell r="D3553">
            <v>41995</v>
          </cell>
          <cell r="U3553">
            <v>1</v>
          </cell>
          <cell r="Z3553">
            <v>0</v>
          </cell>
        </row>
        <row r="3554">
          <cell r="D3554">
            <v>41995</v>
          </cell>
          <cell r="U3554">
            <v>1</v>
          </cell>
          <cell r="Z3554">
            <v>0</v>
          </cell>
        </row>
        <row r="3555">
          <cell r="D3555">
            <v>41995</v>
          </cell>
          <cell r="U3555">
            <v>0</v>
          </cell>
          <cell r="Z3555">
            <v>1</v>
          </cell>
        </row>
        <row r="3556">
          <cell r="D3556">
            <v>41995</v>
          </cell>
          <cell r="U3556">
            <v>0</v>
          </cell>
          <cell r="Z3556">
            <v>1</v>
          </cell>
        </row>
        <row r="3557">
          <cell r="D3557">
            <v>41995</v>
          </cell>
          <cell r="U3557">
            <v>0</v>
          </cell>
          <cell r="Z3557">
            <v>1</v>
          </cell>
        </row>
        <row r="3558">
          <cell r="D3558">
            <v>41995</v>
          </cell>
          <cell r="U3558">
            <v>0</v>
          </cell>
          <cell r="Z3558">
            <v>1</v>
          </cell>
        </row>
        <row r="3559">
          <cell r="D3559">
            <v>41995</v>
          </cell>
          <cell r="U3559">
            <v>0</v>
          </cell>
          <cell r="Z3559">
            <v>1</v>
          </cell>
        </row>
        <row r="3560">
          <cell r="D3560">
            <v>41995</v>
          </cell>
          <cell r="U3560">
            <v>0</v>
          </cell>
          <cell r="Z3560">
            <v>1</v>
          </cell>
        </row>
        <row r="3561">
          <cell r="D3561">
            <v>41995</v>
          </cell>
          <cell r="U3561">
            <v>0</v>
          </cell>
          <cell r="Z3561">
            <v>1</v>
          </cell>
        </row>
        <row r="3562">
          <cell r="D3562">
            <v>41995</v>
          </cell>
          <cell r="U3562">
            <v>0</v>
          </cell>
          <cell r="Z3562">
            <v>1</v>
          </cell>
        </row>
        <row r="3563">
          <cell r="D3563">
            <v>41995</v>
          </cell>
          <cell r="U3563">
            <v>1</v>
          </cell>
          <cell r="Z3563">
            <v>0</v>
          </cell>
        </row>
        <row r="3564">
          <cell r="D3564">
            <v>41995</v>
          </cell>
          <cell r="U3564">
            <v>3</v>
          </cell>
          <cell r="Z3564">
            <v>0</v>
          </cell>
        </row>
        <row r="3565">
          <cell r="D3565">
            <v>41995</v>
          </cell>
          <cell r="U3565">
            <v>0</v>
          </cell>
          <cell r="Z3565">
            <v>1</v>
          </cell>
        </row>
        <row r="3566">
          <cell r="D3566">
            <v>41995</v>
          </cell>
          <cell r="U3566">
            <v>0</v>
          </cell>
          <cell r="Z3566">
            <v>1</v>
          </cell>
        </row>
        <row r="3567">
          <cell r="D3567">
            <v>41995</v>
          </cell>
          <cell r="U3567">
            <v>0</v>
          </cell>
          <cell r="Z3567">
            <v>1</v>
          </cell>
        </row>
        <row r="3568">
          <cell r="D3568">
            <v>41995</v>
          </cell>
          <cell r="U3568">
            <v>2</v>
          </cell>
          <cell r="Z3568">
            <v>0</v>
          </cell>
        </row>
        <row r="3569">
          <cell r="D3569">
            <v>41995</v>
          </cell>
          <cell r="U3569">
            <v>0</v>
          </cell>
          <cell r="Z3569">
            <v>1</v>
          </cell>
        </row>
        <row r="3570">
          <cell r="D3570">
            <v>41995</v>
          </cell>
          <cell r="U3570">
            <v>3</v>
          </cell>
          <cell r="Z3570">
            <v>0</v>
          </cell>
        </row>
        <row r="3571">
          <cell r="D3571">
            <v>41995</v>
          </cell>
          <cell r="U3571">
            <v>0</v>
          </cell>
          <cell r="Z3571">
            <v>1</v>
          </cell>
        </row>
        <row r="3572">
          <cell r="D3572">
            <v>41995</v>
          </cell>
          <cell r="U3572">
            <v>0</v>
          </cell>
          <cell r="Z3572">
            <v>1</v>
          </cell>
        </row>
        <row r="3573">
          <cell r="D3573">
            <v>41995</v>
          </cell>
          <cell r="U3573">
            <v>1</v>
          </cell>
          <cell r="Z3573">
            <v>0</v>
          </cell>
        </row>
        <row r="3574">
          <cell r="D3574">
            <v>41995</v>
          </cell>
          <cell r="U3574">
            <v>3</v>
          </cell>
          <cell r="Z3574">
            <v>0</v>
          </cell>
        </row>
        <row r="3575">
          <cell r="D3575">
            <v>41995</v>
          </cell>
          <cell r="U3575">
            <v>1</v>
          </cell>
          <cell r="Z3575">
            <v>0</v>
          </cell>
        </row>
        <row r="3576">
          <cell r="D3576">
            <v>41995</v>
          </cell>
          <cell r="U3576">
            <v>0</v>
          </cell>
          <cell r="Z3576">
            <v>1</v>
          </cell>
        </row>
        <row r="3577">
          <cell r="D3577">
            <v>41995</v>
          </cell>
          <cell r="U3577">
            <v>2</v>
          </cell>
          <cell r="Z3577">
            <v>0</v>
          </cell>
        </row>
        <row r="3578">
          <cell r="D3578">
            <v>41995</v>
          </cell>
          <cell r="U3578">
            <v>0</v>
          </cell>
          <cell r="Z3578">
            <v>1</v>
          </cell>
        </row>
        <row r="3579">
          <cell r="D3579">
            <v>41995</v>
          </cell>
          <cell r="U3579">
            <v>0</v>
          </cell>
          <cell r="Z3579">
            <v>1</v>
          </cell>
        </row>
        <row r="3580">
          <cell r="D3580">
            <v>41995</v>
          </cell>
          <cell r="U3580">
            <v>1</v>
          </cell>
          <cell r="Z3580">
            <v>0</v>
          </cell>
        </row>
        <row r="3581">
          <cell r="D3581">
            <v>41995</v>
          </cell>
          <cell r="U3581">
            <v>0</v>
          </cell>
          <cell r="Z3581">
            <v>1</v>
          </cell>
        </row>
        <row r="3582">
          <cell r="D3582">
            <v>41995</v>
          </cell>
          <cell r="U3582">
            <v>0</v>
          </cell>
          <cell r="Z3582">
            <v>1</v>
          </cell>
        </row>
        <row r="3583">
          <cell r="D3583">
            <v>41995</v>
          </cell>
          <cell r="U3583">
            <v>0</v>
          </cell>
          <cell r="Z3583">
            <v>1</v>
          </cell>
        </row>
        <row r="3584">
          <cell r="D3584">
            <v>41995</v>
          </cell>
          <cell r="U3584">
            <v>0</v>
          </cell>
          <cell r="Z3584">
            <v>1</v>
          </cell>
        </row>
        <row r="3585">
          <cell r="D3585">
            <v>41995</v>
          </cell>
          <cell r="U3585">
            <v>0</v>
          </cell>
          <cell r="Z3585">
            <v>1</v>
          </cell>
        </row>
        <row r="3586">
          <cell r="D3586">
            <v>41995</v>
          </cell>
          <cell r="U3586">
            <v>1</v>
          </cell>
          <cell r="Z3586">
            <v>0</v>
          </cell>
        </row>
        <row r="3587">
          <cell r="D3587">
            <v>41995</v>
          </cell>
          <cell r="U3587">
            <v>3</v>
          </cell>
          <cell r="Z3587">
            <v>0</v>
          </cell>
        </row>
        <row r="3588">
          <cell r="D3588">
            <v>41995</v>
          </cell>
          <cell r="U3588">
            <v>0</v>
          </cell>
          <cell r="Z3588">
            <v>1</v>
          </cell>
        </row>
        <row r="3589">
          <cell r="D3589">
            <v>41995</v>
          </cell>
          <cell r="U3589">
            <v>1</v>
          </cell>
          <cell r="Z3589">
            <v>0</v>
          </cell>
        </row>
        <row r="3590">
          <cell r="D3590">
            <v>41995</v>
          </cell>
          <cell r="U3590">
            <v>0</v>
          </cell>
          <cell r="Z3590">
            <v>1</v>
          </cell>
        </row>
        <row r="3591">
          <cell r="D3591">
            <v>41995</v>
          </cell>
          <cell r="U3591">
            <v>0</v>
          </cell>
          <cell r="Z3591">
            <v>1</v>
          </cell>
        </row>
        <row r="3592">
          <cell r="D3592">
            <v>41995</v>
          </cell>
          <cell r="U3592">
            <v>1</v>
          </cell>
          <cell r="Z3592">
            <v>0</v>
          </cell>
        </row>
        <row r="3593">
          <cell r="D3593">
            <v>41995</v>
          </cell>
          <cell r="U3593">
            <v>3</v>
          </cell>
          <cell r="Z3593">
            <v>0</v>
          </cell>
        </row>
        <row r="3594">
          <cell r="D3594">
            <v>41995</v>
          </cell>
          <cell r="U3594">
            <v>2</v>
          </cell>
          <cell r="Z3594">
            <v>0</v>
          </cell>
        </row>
        <row r="3595">
          <cell r="D3595">
            <v>41995</v>
          </cell>
          <cell r="U3595">
            <v>0</v>
          </cell>
          <cell r="Z3595">
            <v>1</v>
          </cell>
        </row>
        <row r="3596">
          <cell r="D3596">
            <v>41995</v>
          </cell>
          <cell r="U3596">
            <v>2</v>
          </cell>
          <cell r="Z3596">
            <v>0</v>
          </cell>
        </row>
        <row r="3597">
          <cell r="D3597">
            <v>41995</v>
          </cell>
          <cell r="U3597">
            <v>0</v>
          </cell>
          <cell r="Z3597">
            <v>1</v>
          </cell>
        </row>
        <row r="3598">
          <cell r="D3598">
            <v>41995</v>
          </cell>
          <cell r="U3598">
            <v>0</v>
          </cell>
          <cell r="Z3598">
            <v>1</v>
          </cell>
        </row>
        <row r="3599">
          <cell r="D3599">
            <v>41995</v>
          </cell>
          <cell r="U3599">
            <v>0</v>
          </cell>
          <cell r="Z3599">
            <v>1</v>
          </cell>
        </row>
        <row r="3600">
          <cell r="D3600">
            <v>41995</v>
          </cell>
          <cell r="U3600">
            <v>0</v>
          </cell>
          <cell r="Z3600">
            <v>1</v>
          </cell>
        </row>
        <row r="3601">
          <cell r="D3601">
            <v>41995</v>
          </cell>
          <cell r="U3601">
            <v>0</v>
          </cell>
          <cell r="Z3601">
            <v>1</v>
          </cell>
        </row>
        <row r="3602">
          <cell r="D3602">
            <v>41995</v>
          </cell>
          <cell r="U3602">
            <v>3</v>
          </cell>
          <cell r="Z3602">
            <v>0</v>
          </cell>
        </row>
        <row r="3603">
          <cell r="D3603">
            <v>41995</v>
          </cell>
          <cell r="U3603">
            <v>3</v>
          </cell>
          <cell r="Z3603">
            <v>0</v>
          </cell>
        </row>
        <row r="3604">
          <cell r="D3604">
            <v>41995</v>
          </cell>
          <cell r="U3604">
            <v>0</v>
          </cell>
          <cell r="Z3604">
            <v>1</v>
          </cell>
        </row>
        <row r="3605">
          <cell r="D3605">
            <v>41995</v>
          </cell>
          <cell r="U3605">
            <v>0</v>
          </cell>
          <cell r="Z3605">
            <v>1</v>
          </cell>
        </row>
        <row r="3606">
          <cell r="D3606">
            <v>41995</v>
          </cell>
          <cell r="U3606">
            <v>0</v>
          </cell>
          <cell r="Z3606">
            <v>1</v>
          </cell>
        </row>
        <row r="3607">
          <cell r="D3607">
            <v>41995</v>
          </cell>
          <cell r="U3607">
            <v>0</v>
          </cell>
          <cell r="Z3607">
            <v>1</v>
          </cell>
        </row>
        <row r="3608">
          <cell r="D3608">
            <v>41995</v>
          </cell>
          <cell r="U3608">
            <v>0</v>
          </cell>
          <cell r="Z3608">
            <v>1</v>
          </cell>
        </row>
        <row r="3609">
          <cell r="D3609">
            <v>41995</v>
          </cell>
          <cell r="U3609">
            <v>0</v>
          </cell>
          <cell r="Z3609">
            <v>1</v>
          </cell>
        </row>
        <row r="3610">
          <cell r="D3610">
            <v>41995</v>
          </cell>
          <cell r="U3610">
            <v>0</v>
          </cell>
          <cell r="Z3610">
            <v>1</v>
          </cell>
        </row>
        <row r="3611">
          <cell r="D3611">
            <v>41995</v>
          </cell>
          <cell r="U3611">
            <v>0</v>
          </cell>
          <cell r="Z3611">
            <v>1</v>
          </cell>
        </row>
        <row r="3612">
          <cell r="D3612">
            <v>41995</v>
          </cell>
          <cell r="U3612">
            <v>3</v>
          </cell>
          <cell r="Z3612">
            <v>0</v>
          </cell>
        </row>
        <row r="3613">
          <cell r="D3613">
            <v>41995</v>
          </cell>
          <cell r="U3613">
            <v>0</v>
          </cell>
          <cell r="Z3613">
            <v>1</v>
          </cell>
        </row>
        <row r="3614">
          <cell r="D3614">
            <v>41995</v>
          </cell>
          <cell r="U3614">
            <v>0</v>
          </cell>
          <cell r="Z3614">
            <v>1</v>
          </cell>
        </row>
        <row r="3615">
          <cell r="D3615">
            <v>41995</v>
          </cell>
          <cell r="U3615">
            <v>3</v>
          </cell>
          <cell r="Z3615">
            <v>0</v>
          </cell>
        </row>
        <row r="3616">
          <cell r="D3616">
            <v>41995</v>
          </cell>
          <cell r="U3616">
            <v>0</v>
          </cell>
          <cell r="Z3616">
            <v>1</v>
          </cell>
        </row>
        <row r="3617">
          <cell r="D3617">
            <v>41995</v>
          </cell>
          <cell r="U3617">
            <v>3</v>
          </cell>
          <cell r="Z3617">
            <v>0</v>
          </cell>
        </row>
        <row r="3618">
          <cell r="D3618">
            <v>41995</v>
          </cell>
          <cell r="U3618">
            <v>3</v>
          </cell>
          <cell r="Z3618">
            <v>0</v>
          </cell>
        </row>
        <row r="3619">
          <cell r="D3619">
            <v>41995</v>
          </cell>
          <cell r="U3619">
            <v>1</v>
          </cell>
          <cell r="Z3619">
            <v>0</v>
          </cell>
        </row>
        <row r="3620">
          <cell r="D3620">
            <v>41995</v>
          </cell>
          <cell r="U3620">
            <v>2</v>
          </cell>
          <cell r="Z3620">
            <v>0</v>
          </cell>
        </row>
        <row r="3621">
          <cell r="D3621">
            <v>41995</v>
          </cell>
          <cell r="U3621">
            <v>2</v>
          </cell>
          <cell r="Z3621">
            <v>0</v>
          </cell>
        </row>
        <row r="3622">
          <cell r="D3622">
            <v>41995</v>
          </cell>
          <cell r="U3622">
            <v>0</v>
          </cell>
          <cell r="Z3622">
            <v>1</v>
          </cell>
        </row>
        <row r="3623">
          <cell r="D3623">
            <v>41995</v>
          </cell>
          <cell r="U3623">
            <v>0</v>
          </cell>
          <cell r="Z3623">
            <v>1</v>
          </cell>
        </row>
        <row r="3624">
          <cell r="D3624">
            <v>41995</v>
          </cell>
          <cell r="U3624">
            <v>0</v>
          </cell>
          <cell r="Z3624">
            <v>1</v>
          </cell>
        </row>
        <row r="3625">
          <cell r="D3625">
            <v>41995</v>
          </cell>
          <cell r="U3625">
            <v>3</v>
          </cell>
          <cell r="Z3625">
            <v>0</v>
          </cell>
        </row>
        <row r="3626">
          <cell r="D3626">
            <v>41995</v>
          </cell>
          <cell r="U3626">
            <v>0</v>
          </cell>
          <cell r="Z3626">
            <v>1</v>
          </cell>
        </row>
        <row r="3627">
          <cell r="D3627">
            <v>41995</v>
          </cell>
          <cell r="U3627">
            <v>2</v>
          </cell>
          <cell r="Z3627">
            <v>0</v>
          </cell>
        </row>
        <row r="3628">
          <cell r="D3628">
            <v>41995</v>
          </cell>
          <cell r="U3628">
            <v>0</v>
          </cell>
          <cell r="Z3628">
            <v>1</v>
          </cell>
        </row>
        <row r="3629">
          <cell r="D3629">
            <v>41995</v>
          </cell>
          <cell r="U3629">
            <v>0</v>
          </cell>
          <cell r="Z3629">
            <v>1</v>
          </cell>
        </row>
        <row r="3630">
          <cell r="D3630">
            <v>41995</v>
          </cell>
          <cell r="U3630">
            <v>3</v>
          </cell>
          <cell r="Z3630">
            <v>0</v>
          </cell>
        </row>
        <row r="3631">
          <cell r="D3631">
            <v>41995</v>
          </cell>
          <cell r="U3631">
            <v>3</v>
          </cell>
          <cell r="Z3631">
            <v>0</v>
          </cell>
        </row>
        <row r="3632">
          <cell r="D3632">
            <v>41995</v>
          </cell>
          <cell r="U3632">
            <v>0</v>
          </cell>
          <cell r="Z3632">
            <v>1</v>
          </cell>
        </row>
        <row r="3633">
          <cell r="D3633">
            <v>41995</v>
          </cell>
          <cell r="U3633">
            <v>1</v>
          </cell>
          <cell r="Z3633">
            <v>0</v>
          </cell>
        </row>
        <row r="3634">
          <cell r="D3634">
            <v>41995</v>
          </cell>
          <cell r="U3634">
            <v>3</v>
          </cell>
          <cell r="Z3634">
            <v>0</v>
          </cell>
        </row>
        <row r="3635">
          <cell r="D3635">
            <v>41995</v>
          </cell>
          <cell r="U3635">
            <v>0</v>
          </cell>
          <cell r="Z3635">
            <v>1</v>
          </cell>
        </row>
        <row r="3636">
          <cell r="D3636">
            <v>41995</v>
          </cell>
          <cell r="U3636">
            <v>0</v>
          </cell>
          <cell r="Z3636">
            <v>1</v>
          </cell>
        </row>
        <row r="3637">
          <cell r="D3637">
            <v>41995</v>
          </cell>
          <cell r="U3637">
            <v>0</v>
          </cell>
          <cell r="Z3637">
            <v>1</v>
          </cell>
        </row>
        <row r="3638">
          <cell r="D3638">
            <v>41995</v>
          </cell>
          <cell r="U3638">
            <v>0</v>
          </cell>
          <cell r="Z3638">
            <v>1</v>
          </cell>
        </row>
        <row r="3639">
          <cell r="D3639">
            <v>41995</v>
          </cell>
          <cell r="U3639">
            <v>0</v>
          </cell>
          <cell r="Z3639">
            <v>1</v>
          </cell>
        </row>
        <row r="3640">
          <cell r="D3640">
            <v>41995</v>
          </cell>
          <cell r="U3640">
            <v>2</v>
          </cell>
          <cell r="Z3640">
            <v>0</v>
          </cell>
        </row>
        <row r="3641">
          <cell r="D3641">
            <v>41995</v>
          </cell>
          <cell r="U3641">
            <v>3</v>
          </cell>
          <cell r="Z3641">
            <v>0</v>
          </cell>
        </row>
        <row r="3642">
          <cell r="D3642">
            <v>41995</v>
          </cell>
          <cell r="U3642">
            <v>3</v>
          </cell>
          <cell r="Z3642">
            <v>0</v>
          </cell>
        </row>
        <row r="3643">
          <cell r="D3643">
            <v>41995</v>
          </cell>
          <cell r="U3643">
            <v>2</v>
          </cell>
          <cell r="Z3643">
            <v>0</v>
          </cell>
        </row>
        <row r="3644">
          <cell r="D3644">
            <v>41995</v>
          </cell>
          <cell r="U3644">
            <v>0</v>
          </cell>
          <cell r="Z3644">
            <v>1</v>
          </cell>
        </row>
        <row r="3645">
          <cell r="D3645">
            <v>41995</v>
          </cell>
          <cell r="U3645">
            <v>0</v>
          </cell>
          <cell r="Z3645">
            <v>1</v>
          </cell>
        </row>
        <row r="3646">
          <cell r="D3646">
            <v>41995</v>
          </cell>
          <cell r="U3646">
            <v>0</v>
          </cell>
          <cell r="Z3646">
            <v>1</v>
          </cell>
        </row>
        <row r="3647">
          <cell r="D3647">
            <v>41995</v>
          </cell>
          <cell r="U3647">
            <v>0</v>
          </cell>
          <cell r="Z3647">
            <v>1</v>
          </cell>
        </row>
        <row r="3648">
          <cell r="D3648">
            <v>41996</v>
          </cell>
          <cell r="U3648">
            <v>0</v>
          </cell>
          <cell r="Z3648">
            <v>1</v>
          </cell>
        </row>
        <row r="3649">
          <cell r="D3649">
            <v>41996</v>
          </cell>
          <cell r="U3649">
            <v>0</v>
          </cell>
          <cell r="Z3649">
            <v>1</v>
          </cell>
        </row>
        <row r="3650">
          <cell r="D3650">
            <v>41996</v>
          </cell>
          <cell r="U3650">
            <v>0</v>
          </cell>
          <cell r="Z3650">
            <v>1</v>
          </cell>
        </row>
        <row r="3651">
          <cell r="D3651">
            <v>41996</v>
          </cell>
          <cell r="U3651">
            <v>0</v>
          </cell>
          <cell r="Z3651">
            <v>1</v>
          </cell>
        </row>
        <row r="3652">
          <cell r="D3652">
            <v>41996</v>
          </cell>
          <cell r="U3652">
            <v>1</v>
          </cell>
          <cell r="Z3652">
            <v>0</v>
          </cell>
        </row>
        <row r="3653">
          <cell r="D3653">
            <v>41996</v>
          </cell>
          <cell r="U3653">
            <v>0</v>
          </cell>
          <cell r="Z3653">
            <v>1</v>
          </cell>
        </row>
        <row r="3654">
          <cell r="D3654">
            <v>41996</v>
          </cell>
          <cell r="U3654">
            <v>0</v>
          </cell>
          <cell r="Z3654">
            <v>1</v>
          </cell>
        </row>
        <row r="3655">
          <cell r="D3655">
            <v>41996</v>
          </cell>
          <cell r="U3655">
            <v>0</v>
          </cell>
          <cell r="Z3655">
            <v>1</v>
          </cell>
        </row>
        <row r="3656">
          <cell r="D3656">
            <v>41996</v>
          </cell>
          <cell r="U3656">
            <v>0</v>
          </cell>
          <cell r="Z3656">
            <v>1</v>
          </cell>
        </row>
        <row r="3657">
          <cell r="D3657">
            <v>41996</v>
          </cell>
          <cell r="U3657">
            <v>0</v>
          </cell>
          <cell r="Z3657">
            <v>1</v>
          </cell>
        </row>
        <row r="3658">
          <cell r="D3658">
            <v>41996</v>
          </cell>
          <cell r="U3658">
            <v>0</v>
          </cell>
          <cell r="Z3658">
            <v>1</v>
          </cell>
        </row>
        <row r="3659">
          <cell r="D3659">
            <v>41996</v>
          </cell>
          <cell r="U3659">
            <v>3</v>
          </cell>
          <cell r="Z3659">
            <v>0</v>
          </cell>
        </row>
        <row r="3660">
          <cell r="D3660">
            <v>41996</v>
          </cell>
          <cell r="U3660">
            <v>0</v>
          </cell>
          <cell r="Z3660">
            <v>1</v>
          </cell>
        </row>
        <row r="3661">
          <cell r="D3661">
            <v>41996</v>
          </cell>
          <cell r="U3661">
            <v>0</v>
          </cell>
          <cell r="Z3661">
            <v>1</v>
          </cell>
        </row>
        <row r="3662">
          <cell r="D3662">
            <v>41996</v>
          </cell>
          <cell r="U3662">
            <v>0</v>
          </cell>
          <cell r="Z3662">
            <v>1</v>
          </cell>
        </row>
        <row r="3663">
          <cell r="D3663">
            <v>41996</v>
          </cell>
          <cell r="U3663">
            <v>0</v>
          </cell>
          <cell r="Z3663">
            <v>1</v>
          </cell>
        </row>
        <row r="3664">
          <cell r="D3664">
            <v>41996</v>
          </cell>
          <cell r="U3664">
            <v>2</v>
          </cell>
          <cell r="Z3664">
            <v>0</v>
          </cell>
        </row>
        <row r="3665">
          <cell r="D3665">
            <v>41996</v>
          </cell>
          <cell r="U3665">
            <v>0</v>
          </cell>
          <cell r="Z3665">
            <v>1</v>
          </cell>
        </row>
        <row r="3666">
          <cell r="D3666">
            <v>41996</v>
          </cell>
          <cell r="U3666">
            <v>3</v>
          </cell>
          <cell r="Z3666">
            <v>0</v>
          </cell>
        </row>
        <row r="3667">
          <cell r="D3667">
            <v>41996</v>
          </cell>
          <cell r="U3667">
            <v>3</v>
          </cell>
          <cell r="Z3667">
            <v>0</v>
          </cell>
        </row>
        <row r="3668">
          <cell r="D3668">
            <v>41996</v>
          </cell>
          <cell r="U3668">
            <v>0</v>
          </cell>
          <cell r="Z3668">
            <v>1</v>
          </cell>
        </row>
        <row r="3669">
          <cell r="D3669">
            <v>41996</v>
          </cell>
          <cell r="U3669">
            <v>3</v>
          </cell>
          <cell r="Z3669">
            <v>0</v>
          </cell>
        </row>
        <row r="3670">
          <cell r="D3670">
            <v>41996</v>
          </cell>
          <cell r="U3670">
            <v>0</v>
          </cell>
          <cell r="Z3670">
            <v>1</v>
          </cell>
        </row>
        <row r="3671">
          <cell r="D3671">
            <v>41996</v>
          </cell>
          <cell r="U3671">
            <v>0</v>
          </cell>
          <cell r="Z3671">
            <v>2</v>
          </cell>
        </row>
        <row r="3672">
          <cell r="D3672">
            <v>41996</v>
          </cell>
          <cell r="U3672">
            <v>0</v>
          </cell>
          <cell r="Z3672">
            <v>1</v>
          </cell>
        </row>
        <row r="3673">
          <cell r="D3673">
            <v>41996</v>
          </cell>
          <cell r="U3673">
            <v>3</v>
          </cell>
          <cell r="Z3673">
            <v>0</v>
          </cell>
        </row>
        <row r="3674">
          <cell r="D3674">
            <v>41996</v>
          </cell>
          <cell r="U3674">
            <v>0</v>
          </cell>
          <cell r="Z3674">
            <v>1</v>
          </cell>
        </row>
        <row r="3675">
          <cell r="D3675">
            <v>41996</v>
          </cell>
          <cell r="U3675">
            <v>0</v>
          </cell>
          <cell r="Z3675">
            <v>1</v>
          </cell>
        </row>
        <row r="3676">
          <cell r="D3676">
            <v>41996</v>
          </cell>
          <cell r="U3676">
            <v>0</v>
          </cell>
          <cell r="Z3676">
            <v>1</v>
          </cell>
        </row>
        <row r="3677">
          <cell r="D3677">
            <v>41996</v>
          </cell>
          <cell r="U3677">
            <v>0</v>
          </cell>
          <cell r="Z3677">
            <v>1</v>
          </cell>
        </row>
        <row r="3678">
          <cell r="D3678">
            <v>41996</v>
          </cell>
          <cell r="U3678">
            <v>2</v>
          </cell>
          <cell r="Z3678">
            <v>0</v>
          </cell>
        </row>
        <row r="3679">
          <cell r="D3679">
            <v>41996</v>
          </cell>
          <cell r="U3679">
            <v>0</v>
          </cell>
          <cell r="Z3679">
            <v>1</v>
          </cell>
        </row>
        <row r="3680">
          <cell r="D3680">
            <v>41996</v>
          </cell>
          <cell r="U3680">
            <v>0</v>
          </cell>
          <cell r="Z3680">
            <v>1</v>
          </cell>
        </row>
        <row r="3681">
          <cell r="D3681">
            <v>41996</v>
          </cell>
          <cell r="U3681">
            <v>0</v>
          </cell>
          <cell r="Z3681">
            <v>1</v>
          </cell>
        </row>
        <row r="3682">
          <cell r="D3682">
            <v>41996</v>
          </cell>
          <cell r="U3682">
            <v>0</v>
          </cell>
          <cell r="Z3682">
            <v>1</v>
          </cell>
        </row>
        <row r="3683">
          <cell r="D3683">
            <v>41996</v>
          </cell>
          <cell r="U3683">
            <v>3</v>
          </cell>
          <cell r="Z3683">
            <v>0</v>
          </cell>
        </row>
        <row r="3684">
          <cell r="D3684">
            <v>41996</v>
          </cell>
          <cell r="U3684">
            <v>3</v>
          </cell>
          <cell r="Z3684">
            <v>0</v>
          </cell>
        </row>
        <row r="3685">
          <cell r="D3685">
            <v>41996</v>
          </cell>
          <cell r="U3685">
            <v>0</v>
          </cell>
          <cell r="Z3685">
            <v>1</v>
          </cell>
        </row>
        <row r="3686">
          <cell r="D3686">
            <v>41996</v>
          </cell>
          <cell r="U3686">
            <v>0</v>
          </cell>
          <cell r="Z3686">
            <v>1</v>
          </cell>
        </row>
        <row r="3687">
          <cell r="D3687">
            <v>41996</v>
          </cell>
          <cell r="U3687">
            <v>1</v>
          </cell>
          <cell r="Z3687">
            <v>0</v>
          </cell>
        </row>
        <row r="3688">
          <cell r="D3688">
            <v>41996</v>
          </cell>
          <cell r="U3688">
            <v>0</v>
          </cell>
          <cell r="Z3688">
            <v>1</v>
          </cell>
        </row>
        <row r="3689">
          <cell r="D3689">
            <v>41996</v>
          </cell>
          <cell r="U3689">
            <v>0</v>
          </cell>
          <cell r="Z3689">
            <v>1</v>
          </cell>
        </row>
        <row r="3690">
          <cell r="D3690">
            <v>41996</v>
          </cell>
          <cell r="U3690">
            <v>0</v>
          </cell>
          <cell r="Z3690">
            <v>1</v>
          </cell>
        </row>
        <row r="3691">
          <cell r="D3691">
            <v>41996</v>
          </cell>
          <cell r="U3691">
            <v>0</v>
          </cell>
          <cell r="Z3691">
            <v>1</v>
          </cell>
        </row>
        <row r="3692">
          <cell r="D3692">
            <v>41996</v>
          </cell>
          <cell r="U3692">
            <v>2</v>
          </cell>
          <cell r="Z3692">
            <v>0</v>
          </cell>
        </row>
        <row r="3693">
          <cell r="D3693">
            <v>41996</v>
          </cell>
          <cell r="U3693">
            <v>0</v>
          </cell>
          <cell r="Z3693">
            <v>1</v>
          </cell>
        </row>
        <row r="3694">
          <cell r="D3694">
            <v>41996</v>
          </cell>
          <cell r="U3694">
            <v>1</v>
          </cell>
          <cell r="Z3694">
            <v>0</v>
          </cell>
        </row>
        <row r="3695">
          <cell r="D3695">
            <v>41996</v>
          </cell>
          <cell r="U3695">
            <v>0</v>
          </cell>
          <cell r="Z3695">
            <v>1</v>
          </cell>
        </row>
        <row r="3696">
          <cell r="D3696">
            <v>41996</v>
          </cell>
          <cell r="U3696">
            <v>0</v>
          </cell>
          <cell r="Z3696">
            <v>1</v>
          </cell>
        </row>
        <row r="3697">
          <cell r="D3697">
            <v>41996</v>
          </cell>
          <cell r="U3697">
            <v>0</v>
          </cell>
          <cell r="Z3697">
            <v>1</v>
          </cell>
        </row>
        <row r="3698">
          <cell r="D3698">
            <v>41996</v>
          </cell>
          <cell r="U3698">
            <v>0</v>
          </cell>
          <cell r="Z3698">
            <v>1</v>
          </cell>
        </row>
        <row r="3699">
          <cell r="D3699">
            <v>41996</v>
          </cell>
          <cell r="U3699">
            <v>3</v>
          </cell>
          <cell r="Z3699">
            <v>0</v>
          </cell>
        </row>
        <row r="3700">
          <cell r="D3700">
            <v>41996</v>
          </cell>
          <cell r="U3700">
            <v>2</v>
          </cell>
          <cell r="Z3700">
            <v>0</v>
          </cell>
        </row>
        <row r="3701">
          <cell r="D3701">
            <v>41996</v>
          </cell>
          <cell r="U3701">
            <v>1</v>
          </cell>
          <cell r="Z3701">
            <v>0</v>
          </cell>
        </row>
        <row r="3702">
          <cell r="D3702">
            <v>41996</v>
          </cell>
          <cell r="U3702">
            <v>0</v>
          </cell>
          <cell r="Z3702">
            <v>1</v>
          </cell>
        </row>
        <row r="3703">
          <cell r="D3703">
            <v>41996</v>
          </cell>
          <cell r="U3703">
            <v>0</v>
          </cell>
          <cell r="Z3703">
            <v>1</v>
          </cell>
        </row>
        <row r="3704">
          <cell r="D3704">
            <v>41996</v>
          </cell>
          <cell r="U3704">
            <v>0</v>
          </cell>
          <cell r="Z3704">
            <v>1</v>
          </cell>
        </row>
        <row r="3705">
          <cell r="D3705">
            <v>41996</v>
          </cell>
          <cell r="U3705">
            <v>0</v>
          </cell>
          <cell r="Z3705">
            <v>1</v>
          </cell>
        </row>
        <row r="3706">
          <cell r="D3706">
            <v>41996</v>
          </cell>
          <cell r="U3706">
            <v>1</v>
          </cell>
          <cell r="Z3706">
            <v>0</v>
          </cell>
        </row>
        <row r="3707">
          <cell r="D3707">
            <v>41996</v>
          </cell>
          <cell r="U3707">
            <v>0</v>
          </cell>
          <cell r="Z3707">
            <v>1</v>
          </cell>
        </row>
        <row r="3708">
          <cell r="D3708">
            <v>41996</v>
          </cell>
          <cell r="U3708">
            <v>0</v>
          </cell>
          <cell r="Z3708">
            <v>1</v>
          </cell>
        </row>
        <row r="3709">
          <cell r="D3709">
            <v>41996</v>
          </cell>
          <cell r="U3709">
            <v>0</v>
          </cell>
          <cell r="Z3709">
            <v>1</v>
          </cell>
        </row>
        <row r="3710">
          <cell r="D3710">
            <v>41996</v>
          </cell>
          <cell r="U3710">
            <v>0</v>
          </cell>
          <cell r="Z3710">
            <v>1</v>
          </cell>
        </row>
        <row r="3711">
          <cell r="D3711">
            <v>41996</v>
          </cell>
          <cell r="U3711">
            <v>0</v>
          </cell>
          <cell r="Z3711">
            <v>1</v>
          </cell>
        </row>
        <row r="3712">
          <cell r="D3712">
            <v>41996</v>
          </cell>
          <cell r="U3712">
            <v>0</v>
          </cell>
          <cell r="Z3712">
            <v>1</v>
          </cell>
        </row>
        <row r="3713">
          <cell r="D3713">
            <v>41996</v>
          </cell>
          <cell r="U3713">
            <v>3</v>
          </cell>
          <cell r="Z3713">
            <v>0</v>
          </cell>
        </row>
        <row r="3714">
          <cell r="D3714">
            <v>41996</v>
          </cell>
          <cell r="U3714">
            <v>1</v>
          </cell>
          <cell r="Z3714">
            <v>0</v>
          </cell>
        </row>
        <row r="3715">
          <cell r="D3715">
            <v>41996</v>
          </cell>
          <cell r="U3715">
            <v>1</v>
          </cell>
          <cell r="Z3715">
            <v>0</v>
          </cell>
        </row>
        <row r="3716">
          <cell r="D3716">
            <v>41996</v>
          </cell>
          <cell r="U3716">
            <v>0</v>
          </cell>
          <cell r="Z3716">
            <v>1</v>
          </cell>
        </row>
        <row r="3717">
          <cell r="D3717">
            <v>41996</v>
          </cell>
          <cell r="U3717">
            <v>3</v>
          </cell>
          <cell r="Z3717">
            <v>0</v>
          </cell>
        </row>
        <row r="3718">
          <cell r="D3718">
            <v>41996</v>
          </cell>
          <cell r="U3718">
            <v>0</v>
          </cell>
          <cell r="Z3718">
            <v>1</v>
          </cell>
        </row>
        <row r="3719">
          <cell r="D3719">
            <v>41996</v>
          </cell>
          <cell r="U3719">
            <v>0</v>
          </cell>
          <cell r="Z3719">
            <v>1</v>
          </cell>
        </row>
        <row r="3720">
          <cell r="D3720">
            <v>41996</v>
          </cell>
          <cell r="U3720">
            <v>0</v>
          </cell>
          <cell r="Z3720">
            <v>1</v>
          </cell>
        </row>
        <row r="3721">
          <cell r="D3721">
            <v>41996</v>
          </cell>
          <cell r="U3721">
            <v>1</v>
          </cell>
          <cell r="Z3721">
            <v>0</v>
          </cell>
        </row>
        <row r="3722">
          <cell r="D3722">
            <v>41996</v>
          </cell>
          <cell r="U3722">
            <v>1</v>
          </cell>
          <cell r="Z3722">
            <v>0</v>
          </cell>
        </row>
        <row r="3723">
          <cell r="D3723">
            <v>41996</v>
          </cell>
          <cell r="U3723">
            <v>2</v>
          </cell>
          <cell r="Z3723">
            <v>0</v>
          </cell>
        </row>
        <row r="3724">
          <cell r="D3724">
            <v>41996</v>
          </cell>
          <cell r="U3724">
            <v>1</v>
          </cell>
          <cell r="Z3724">
            <v>0</v>
          </cell>
        </row>
        <row r="3725">
          <cell r="D3725">
            <v>41996</v>
          </cell>
          <cell r="U3725">
            <v>0</v>
          </cell>
          <cell r="Z3725">
            <v>1</v>
          </cell>
        </row>
        <row r="3726">
          <cell r="D3726">
            <v>41996</v>
          </cell>
          <cell r="U3726">
            <v>0</v>
          </cell>
          <cell r="Z3726">
            <v>1</v>
          </cell>
        </row>
        <row r="3727">
          <cell r="D3727">
            <v>41996</v>
          </cell>
          <cell r="U3727">
            <v>3</v>
          </cell>
          <cell r="Z3727">
            <v>0</v>
          </cell>
        </row>
        <row r="3728">
          <cell r="D3728">
            <v>41996</v>
          </cell>
          <cell r="U3728">
            <v>0</v>
          </cell>
          <cell r="Z3728">
            <v>1</v>
          </cell>
        </row>
        <row r="3729">
          <cell r="D3729">
            <v>41996</v>
          </cell>
          <cell r="U3729">
            <v>0</v>
          </cell>
          <cell r="Z3729">
            <v>1</v>
          </cell>
        </row>
        <row r="3730">
          <cell r="D3730">
            <v>41996</v>
          </cell>
          <cell r="U3730">
            <v>0</v>
          </cell>
          <cell r="Z3730">
            <v>1</v>
          </cell>
        </row>
        <row r="3731">
          <cell r="D3731">
            <v>41996</v>
          </cell>
          <cell r="U3731">
            <v>2</v>
          </cell>
          <cell r="Z3731">
            <v>0</v>
          </cell>
        </row>
        <row r="3732">
          <cell r="D3732">
            <v>41996</v>
          </cell>
          <cell r="U3732">
            <v>3</v>
          </cell>
          <cell r="Z3732">
            <v>0</v>
          </cell>
        </row>
        <row r="3733">
          <cell r="D3733">
            <v>41996</v>
          </cell>
          <cell r="U3733">
            <v>3</v>
          </cell>
          <cell r="Z3733">
            <v>0</v>
          </cell>
        </row>
        <row r="3734">
          <cell r="D3734">
            <v>41996</v>
          </cell>
          <cell r="U3734">
            <v>3</v>
          </cell>
          <cell r="Z3734">
            <v>0</v>
          </cell>
        </row>
        <row r="3735">
          <cell r="D3735">
            <v>41996</v>
          </cell>
          <cell r="U3735">
            <v>3</v>
          </cell>
          <cell r="Z3735">
            <v>0</v>
          </cell>
        </row>
        <row r="3736">
          <cell r="D3736">
            <v>41996</v>
          </cell>
          <cell r="U3736">
            <v>0</v>
          </cell>
          <cell r="Z3736">
            <v>1</v>
          </cell>
        </row>
        <row r="3737">
          <cell r="D3737">
            <v>41996</v>
          </cell>
          <cell r="U3737">
            <v>0</v>
          </cell>
          <cell r="Z3737">
            <v>1</v>
          </cell>
        </row>
        <row r="3738">
          <cell r="D3738">
            <v>41996</v>
          </cell>
          <cell r="U3738">
            <v>0</v>
          </cell>
          <cell r="Z3738">
            <v>1</v>
          </cell>
        </row>
        <row r="3739">
          <cell r="D3739">
            <v>41996</v>
          </cell>
          <cell r="U3739">
            <v>0</v>
          </cell>
          <cell r="Z3739">
            <v>1</v>
          </cell>
        </row>
        <row r="3740">
          <cell r="D3740">
            <v>41996</v>
          </cell>
          <cell r="U3740">
            <v>3</v>
          </cell>
          <cell r="Z3740">
            <v>0</v>
          </cell>
        </row>
        <row r="3741">
          <cell r="D3741">
            <v>41996</v>
          </cell>
          <cell r="U3741">
            <v>1</v>
          </cell>
          <cell r="Z3741">
            <v>0</v>
          </cell>
        </row>
        <row r="3742">
          <cell r="D3742">
            <v>41996</v>
          </cell>
          <cell r="U3742">
            <v>1</v>
          </cell>
          <cell r="Z3742">
            <v>0</v>
          </cell>
        </row>
        <row r="3743">
          <cell r="D3743">
            <v>41996</v>
          </cell>
          <cell r="U3743">
            <v>0</v>
          </cell>
          <cell r="Z3743">
            <v>1</v>
          </cell>
        </row>
        <row r="3744">
          <cell r="D3744">
            <v>41996</v>
          </cell>
          <cell r="U3744">
            <v>0</v>
          </cell>
          <cell r="Z3744">
            <v>1</v>
          </cell>
        </row>
        <row r="3745">
          <cell r="D3745">
            <v>41996</v>
          </cell>
          <cell r="U3745">
            <v>0</v>
          </cell>
          <cell r="Z3745">
            <v>1</v>
          </cell>
        </row>
        <row r="3746">
          <cell r="D3746">
            <v>41996</v>
          </cell>
          <cell r="U3746">
            <v>0</v>
          </cell>
          <cell r="Z3746">
            <v>1</v>
          </cell>
        </row>
        <row r="3747">
          <cell r="D3747">
            <v>41996</v>
          </cell>
          <cell r="U3747">
            <v>2</v>
          </cell>
          <cell r="Z3747">
            <v>0</v>
          </cell>
        </row>
        <row r="3748">
          <cell r="D3748">
            <v>41996</v>
          </cell>
          <cell r="U3748">
            <v>0</v>
          </cell>
          <cell r="Z3748">
            <v>1</v>
          </cell>
        </row>
        <row r="3749">
          <cell r="D3749">
            <v>41996</v>
          </cell>
          <cell r="U3749">
            <v>0</v>
          </cell>
          <cell r="Z3749">
            <v>1</v>
          </cell>
        </row>
        <row r="3750">
          <cell r="D3750">
            <v>41996</v>
          </cell>
          <cell r="U3750">
            <v>3</v>
          </cell>
          <cell r="Z3750">
            <v>0</v>
          </cell>
        </row>
        <row r="3751">
          <cell r="D3751">
            <v>41996</v>
          </cell>
          <cell r="U3751">
            <v>0</v>
          </cell>
          <cell r="Z3751">
            <v>1</v>
          </cell>
        </row>
        <row r="3752">
          <cell r="D3752">
            <v>41996</v>
          </cell>
          <cell r="U3752">
            <v>0</v>
          </cell>
          <cell r="Z3752">
            <v>1</v>
          </cell>
        </row>
        <row r="3753">
          <cell r="D3753">
            <v>41996</v>
          </cell>
          <cell r="U3753">
            <v>0</v>
          </cell>
          <cell r="Z3753">
            <v>1</v>
          </cell>
        </row>
        <row r="3754">
          <cell r="D3754">
            <v>41996</v>
          </cell>
          <cell r="U3754">
            <v>3</v>
          </cell>
          <cell r="Z3754">
            <v>0</v>
          </cell>
        </row>
        <row r="3755">
          <cell r="D3755">
            <v>41996</v>
          </cell>
          <cell r="U3755">
            <v>3</v>
          </cell>
          <cell r="Z3755">
            <v>0</v>
          </cell>
        </row>
        <row r="3756">
          <cell r="D3756">
            <v>41996</v>
          </cell>
          <cell r="U3756">
            <v>0</v>
          </cell>
          <cell r="Z3756">
            <v>1</v>
          </cell>
        </row>
        <row r="3757">
          <cell r="D3757">
            <v>41996</v>
          </cell>
          <cell r="U3757">
            <v>3</v>
          </cell>
          <cell r="Z3757">
            <v>0</v>
          </cell>
        </row>
        <row r="3758">
          <cell r="D3758">
            <v>41996</v>
          </cell>
          <cell r="U3758">
            <v>2</v>
          </cell>
          <cell r="Z3758">
            <v>0</v>
          </cell>
        </row>
        <row r="3759">
          <cell r="D3759">
            <v>41996</v>
          </cell>
          <cell r="U3759">
            <v>2</v>
          </cell>
          <cell r="Z3759">
            <v>0</v>
          </cell>
        </row>
        <row r="3760">
          <cell r="D3760">
            <v>41996</v>
          </cell>
          <cell r="U3760">
            <v>3</v>
          </cell>
          <cell r="Z3760">
            <v>0</v>
          </cell>
        </row>
        <row r="3761">
          <cell r="D3761">
            <v>41996</v>
          </cell>
          <cell r="U3761">
            <v>3</v>
          </cell>
          <cell r="Z3761">
            <v>0</v>
          </cell>
        </row>
        <row r="3762">
          <cell r="D3762">
            <v>41996</v>
          </cell>
          <cell r="U3762">
            <v>0</v>
          </cell>
          <cell r="Z3762">
            <v>1</v>
          </cell>
        </row>
        <row r="3763">
          <cell r="D3763">
            <v>41996</v>
          </cell>
          <cell r="U3763">
            <v>3</v>
          </cell>
          <cell r="Z3763">
            <v>0</v>
          </cell>
        </row>
        <row r="3764">
          <cell r="D3764">
            <v>41996</v>
          </cell>
          <cell r="U3764">
            <v>3</v>
          </cell>
          <cell r="Z3764">
            <v>0</v>
          </cell>
        </row>
        <row r="3765">
          <cell r="D3765">
            <v>41996</v>
          </cell>
          <cell r="U3765">
            <v>0</v>
          </cell>
          <cell r="Z3765">
            <v>1</v>
          </cell>
        </row>
        <row r="3766">
          <cell r="D3766">
            <v>41996</v>
          </cell>
          <cell r="U3766">
            <v>0</v>
          </cell>
          <cell r="Z3766">
            <v>1</v>
          </cell>
        </row>
        <row r="3767">
          <cell r="D3767">
            <v>41996</v>
          </cell>
          <cell r="U3767">
            <v>0</v>
          </cell>
          <cell r="Z3767">
            <v>1</v>
          </cell>
        </row>
        <row r="3768">
          <cell r="D3768">
            <v>41996</v>
          </cell>
          <cell r="U3768">
            <v>0</v>
          </cell>
          <cell r="Z3768">
            <v>1</v>
          </cell>
        </row>
        <row r="3769">
          <cell r="D3769">
            <v>41996</v>
          </cell>
          <cell r="U3769">
            <v>2</v>
          </cell>
          <cell r="Z3769">
            <v>0</v>
          </cell>
        </row>
        <row r="3770">
          <cell r="D3770">
            <v>41996</v>
          </cell>
          <cell r="U3770">
            <v>2</v>
          </cell>
          <cell r="Z3770">
            <v>0</v>
          </cell>
        </row>
        <row r="3771">
          <cell r="D3771">
            <v>41996</v>
          </cell>
          <cell r="U3771">
            <v>3</v>
          </cell>
          <cell r="Z3771">
            <v>0</v>
          </cell>
        </row>
        <row r="3772">
          <cell r="D3772">
            <v>41996</v>
          </cell>
          <cell r="U3772">
            <v>3</v>
          </cell>
          <cell r="Z3772">
            <v>0</v>
          </cell>
        </row>
        <row r="3773">
          <cell r="D3773">
            <v>41996</v>
          </cell>
          <cell r="U3773">
            <v>0</v>
          </cell>
          <cell r="Z3773">
            <v>1</v>
          </cell>
        </row>
        <row r="3774">
          <cell r="D3774">
            <v>41996</v>
          </cell>
          <cell r="U3774">
            <v>1</v>
          </cell>
          <cell r="Z3774">
            <v>0</v>
          </cell>
        </row>
        <row r="3775">
          <cell r="D3775">
            <v>41996</v>
          </cell>
          <cell r="U3775">
            <v>1</v>
          </cell>
          <cell r="Z3775">
            <v>0</v>
          </cell>
        </row>
        <row r="3776">
          <cell r="D3776">
            <v>41996</v>
          </cell>
          <cell r="U3776">
            <v>2</v>
          </cell>
          <cell r="Z3776">
            <v>0</v>
          </cell>
        </row>
        <row r="3777">
          <cell r="D3777">
            <v>41996</v>
          </cell>
          <cell r="U3777">
            <v>0</v>
          </cell>
          <cell r="Z3777">
            <v>1</v>
          </cell>
        </row>
        <row r="3778">
          <cell r="D3778">
            <v>41996</v>
          </cell>
          <cell r="U3778">
            <v>0</v>
          </cell>
          <cell r="Z3778">
            <v>1</v>
          </cell>
        </row>
        <row r="3779">
          <cell r="D3779">
            <v>41996</v>
          </cell>
          <cell r="U3779">
            <v>1</v>
          </cell>
          <cell r="Z3779">
            <v>0</v>
          </cell>
        </row>
        <row r="3780">
          <cell r="D3780">
            <v>41996</v>
          </cell>
          <cell r="U3780">
            <v>0</v>
          </cell>
          <cell r="Z3780">
            <v>1</v>
          </cell>
        </row>
        <row r="3781">
          <cell r="D3781">
            <v>41996</v>
          </cell>
          <cell r="U3781">
            <v>0</v>
          </cell>
          <cell r="Z3781">
            <v>1</v>
          </cell>
        </row>
        <row r="3782">
          <cell r="D3782">
            <v>41996</v>
          </cell>
          <cell r="U3782">
            <v>0</v>
          </cell>
          <cell r="Z3782">
            <v>1</v>
          </cell>
        </row>
        <row r="3783">
          <cell r="D3783">
            <v>41996</v>
          </cell>
          <cell r="U3783">
            <v>0</v>
          </cell>
          <cell r="Z3783">
            <v>1</v>
          </cell>
        </row>
        <row r="3784">
          <cell r="D3784">
            <v>41996</v>
          </cell>
          <cell r="U3784">
            <v>0</v>
          </cell>
          <cell r="Z3784">
            <v>1</v>
          </cell>
        </row>
        <row r="3785">
          <cell r="D3785">
            <v>41996</v>
          </cell>
          <cell r="U3785">
            <v>0</v>
          </cell>
          <cell r="Z3785">
            <v>1</v>
          </cell>
        </row>
        <row r="3786">
          <cell r="D3786">
            <v>41996</v>
          </cell>
          <cell r="U3786">
            <v>0</v>
          </cell>
          <cell r="Z3786">
            <v>1</v>
          </cell>
        </row>
        <row r="3787">
          <cell r="D3787">
            <v>41996</v>
          </cell>
          <cell r="U3787">
            <v>0</v>
          </cell>
          <cell r="Z3787">
            <v>1</v>
          </cell>
        </row>
        <row r="3788">
          <cell r="D3788">
            <v>41996</v>
          </cell>
          <cell r="U3788">
            <v>0</v>
          </cell>
          <cell r="Z3788">
            <v>1</v>
          </cell>
        </row>
        <row r="3789">
          <cell r="D3789">
            <v>41996</v>
          </cell>
          <cell r="U3789">
            <v>0</v>
          </cell>
          <cell r="Z3789">
            <v>1</v>
          </cell>
        </row>
        <row r="3790">
          <cell r="D3790">
            <v>41996</v>
          </cell>
          <cell r="U3790">
            <v>3</v>
          </cell>
          <cell r="Z3790">
            <v>0</v>
          </cell>
        </row>
        <row r="3791">
          <cell r="D3791">
            <v>41996</v>
          </cell>
          <cell r="U3791">
            <v>0</v>
          </cell>
          <cell r="Z3791">
            <v>1</v>
          </cell>
        </row>
        <row r="3792">
          <cell r="D3792">
            <v>41996</v>
          </cell>
          <cell r="U3792">
            <v>3</v>
          </cell>
          <cell r="Z3792">
            <v>0</v>
          </cell>
        </row>
        <row r="3793">
          <cell r="D3793">
            <v>41996</v>
          </cell>
          <cell r="U3793">
            <v>3</v>
          </cell>
          <cell r="Z3793">
            <v>0</v>
          </cell>
        </row>
        <row r="3794">
          <cell r="D3794">
            <v>41996</v>
          </cell>
          <cell r="U3794">
            <v>3</v>
          </cell>
          <cell r="Z3794">
            <v>0</v>
          </cell>
        </row>
        <row r="3795">
          <cell r="D3795">
            <v>41996</v>
          </cell>
          <cell r="U3795">
            <v>1</v>
          </cell>
          <cell r="Z3795">
            <v>0</v>
          </cell>
        </row>
        <row r="3796">
          <cell r="D3796">
            <v>41996</v>
          </cell>
          <cell r="U3796">
            <v>3</v>
          </cell>
          <cell r="Z3796">
            <v>0</v>
          </cell>
        </row>
        <row r="3797">
          <cell r="D3797">
            <v>41996</v>
          </cell>
          <cell r="U3797">
            <v>3</v>
          </cell>
          <cell r="Z3797">
            <v>0</v>
          </cell>
        </row>
        <row r="3798">
          <cell r="D3798">
            <v>41996</v>
          </cell>
          <cell r="U3798">
            <v>0</v>
          </cell>
          <cell r="Z3798">
            <v>1</v>
          </cell>
        </row>
        <row r="3799">
          <cell r="D3799">
            <v>41996</v>
          </cell>
          <cell r="U3799">
            <v>2</v>
          </cell>
          <cell r="Z3799">
            <v>0</v>
          </cell>
        </row>
        <row r="3800">
          <cell r="D3800">
            <v>41996</v>
          </cell>
          <cell r="U3800">
            <v>0</v>
          </cell>
          <cell r="Z3800">
            <v>1</v>
          </cell>
        </row>
        <row r="3801">
          <cell r="D3801">
            <v>41996</v>
          </cell>
          <cell r="U3801">
            <v>0</v>
          </cell>
          <cell r="Z3801">
            <v>1</v>
          </cell>
        </row>
        <row r="3802">
          <cell r="D3802">
            <v>41996</v>
          </cell>
          <cell r="U3802">
            <v>0</v>
          </cell>
          <cell r="Z3802">
            <v>1</v>
          </cell>
        </row>
        <row r="3803">
          <cell r="D3803">
            <v>41996</v>
          </cell>
          <cell r="U3803">
            <v>0</v>
          </cell>
          <cell r="Z3803">
            <v>1</v>
          </cell>
        </row>
        <row r="3804">
          <cell r="D3804">
            <v>41996</v>
          </cell>
          <cell r="U3804">
            <v>0</v>
          </cell>
          <cell r="Z3804">
            <v>1</v>
          </cell>
        </row>
        <row r="3805">
          <cell r="D3805">
            <v>41996</v>
          </cell>
          <cell r="U3805">
            <v>0</v>
          </cell>
          <cell r="Z3805">
            <v>1</v>
          </cell>
        </row>
        <row r="3806">
          <cell r="D3806">
            <v>41996</v>
          </cell>
          <cell r="U3806">
            <v>0</v>
          </cell>
          <cell r="Z3806">
            <v>1</v>
          </cell>
        </row>
        <row r="3807">
          <cell r="D3807">
            <v>41996</v>
          </cell>
          <cell r="U3807">
            <v>0</v>
          </cell>
          <cell r="Z3807">
            <v>1</v>
          </cell>
        </row>
        <row r="3808">
          <cell r="D3808">
            <v>41996</v>
          </cell>
          <cell r="U3808">
            <v>0</v>
          </cell>
          <cell r="Z3808">
            <v>1</v>
          </cell>
        </row>
        <row r="3809">
          <cell r="D3809">
            <v>41996</v>
          </cell>
          <cell r="U3809">
            <v>0</v>
          </cell>
          <cell r="Z3809">
            <v>1</v>
          </cell>
        </row>
        <row r="3810">
          <cell r="D3810">
            <v>41996</v>
          </cell>
          <cell r="U3810">
            <v>0</v>
          </cell>
          <cell r="Z3810">
            <v>1</v>
          </cell>
        </row>
        <row r="3811">
          <cell r="D3811">
            <v>41996</v>
          </cell>
          <cell r="U3811">
            <v>0</v>
          </cell>
          <cell r="Z3811">
            <v>1</v>
          </cell>
        </row>
        <row r="3812">
          <cell r="D3812">
            <v>41996</v>
          </cell>
          <cell r="U3812">
            <v>0</v>
          </cell>
          <cell r="Z3812">
            <v>1</v>
          </cell>
        </row>
        <row r="3813">
          <cell r="D3813">
            <v>41996</v>
          </cell>
          <cell r="U3813">
            <v>0</v>
          </cell>
          <cell r="Z3813">
            <v>1</v>
          </cell>
        </row>
        <row r="3814">
          <cell r="D3814">
            <v>41996</v>
          </cell>
          <cell r="U3814">
            <v>0</v>
          </cell>
          <cell r="Z3814">
            <v>1</v>
          </cell>
        </row>
        <row r="3815">
          <cell r="D3815">
            <v>41996</v>
          </cell>
          <cell r="U3815">
            <v>3</v>
          </cell>
          <cell r="Z3815">
            <v>0</v>
          </cell>
        </row>
        <row r="3816">
          <cell r="D3816">
            <v>41997</v>
          </cell>
          <cell r="U3816">
            <v>0</v>
          </cell>
          <cell r="Z3816">
            <v>1</v>
          </cell>
        </row>
        <row r="3817">
          <cell r="D3817">
            <v>41997</v>
          </cell>
          <cell r="U3817">
            <v>0</v>
          </cell>
          <cell r="Z3817">
            <v>1</v>
          </cell>
        </row>
        <row r="3818">
          <cell r="D3818">
            <v>41997</v>
          </cell>
          <cell r="U3818">
            <v>0</v>
          </cell>
          <cell r="Z3818">
            <v>1</v>
          </cell>
        </row>
        <row r="3819">
          <cell r="D3819">
            <v>41997</v>
          </cell>
          <cell r="U3819">
            <v>0</v>
          </cell>
          <cell r="Z3819">
            <v>1</v>
          </cell>
        </row>
        <row r="3820">
          <cell r="D3820">
            <v>41997</v>
          </cell>
          <cell r="U3820">
            <v>1</v>
          </cell>
          <cell r="Z3820">
            <v>0</v>
          </cell>
        </row>
        <row r="3821">
          <cell r="D3821">
            <v>41997</v>
          </cell>
          <cell r="U3821">
            <v>0</v>
          </cell>
          <cell r="Z3821">
            <v>1</v>
          </cell>
        </row>
        <row r="3822">
          <cell r="D3822">
            <v>41997</v>
          </cell>
          <cell r="U3822">
            <v>3</v>
          </cell>
          <cell r="Z3822">
            <v>0</v>
          </cell>
        </row>
        <row r="3823">
          <cell r="D3823">
            <v>41997</v>
          </cell>
          <cell r="U3823">
            <v>0</v>
          </cell>
          <cell r="Z3823">
            <v>1</v>
          </cell>
        </row>
        <row r="3824">
          <cell r="D3824">
            <v>41997</v>
          </cell>
          <cell r="U3824">
            <v>0</v>
          </cell>
          <cell r="Z3824">
            <v>1</v>
          </cell>
        </row>
        <row r="3825">
          <cell r="D3825">
            <v>41997</v>
          </cell>
          <cell r="U3825">
            <v>1</v>
          </cell>
          <cell r="Z3825">
            <v>0</v>
          </cell>
        </row>
        <row r="3826">
          <cell r="D3826">
            <v>41997</v>
          </cell>
          <cell r="U3826">
            <v>0</v>
          </cell>
          <cell r="Z3826">
            <v>1</v>
          </cell>
        </row>
        <row r="3827">
          <cell r="D3827">
            <v>41997</v>
          </cell>
          <cell r="U3827">
            <v>1</v>
          </cell>
          <cell r="Z3827">
            <v>0</v>
          </cell>
        </row>
        <row r="3828">
          <cell r="D3828">
            <v>41997</v>
          </cell>
          <cell r="U3828">
            <v>0</v>
          </cell>
          <cell r="Z3828">
            <v>1</v>
          </cell>
        </row>
        <row r="3829">
          <cell r="D3829">
            <v>41997</v>
          </cell>
          <cell r="U3829">
            <v>0</v>
          </cell>
          <cell r="Z3829">
            <v>1</v>
          </cell>
        </row>
        <row r="3830">
          <cell r="D3830">
            <v>41997</v>
          </cell>
          <cell r="U3830">
            <v>0</v>
          </cell>
          <cell r="Z3830">
            <v>1</v>
          </cell>
        </row>
        <row r="3831">
          <cell r="D3831">
            <v>41997</v>
          </cell>
          <cell r="U3831">
            <v>0</v>
          </cell>
          <cell r="Z3831">
            <v>1</v>
          </cell>
        </row>
        <row r="3832">
          <cell r="D3832">
            <v>41997</v>
          </cell>
          <cell r="U3832">
            <v>0</v>
          </cell>
          <cell r="Z3832">
            <v>1</v>
          </cell>
        </row>
        <row r="3833">
          <cell r="D3833">
            <v>41997</v>
          </cell>
          <cell r="U3833">
            <v>2</v>
          </cell>
          <cell r="Z3833">
            <v>0</v>
          </cell>
        </row>
        <row r="3834">
          <cell r="D3834">
            <v>41997</v>
          </cell>
          <cell r="U3834">
            <v>0</v>
          </cell>
          <cell r="Z3834">
            <v>1</v>
          </cell>
        </row>
        <row r="3835">
          <cell r="D3835">
            <v>41997</v>
          </cell>
          <cell r="U3835">
            <v>0</v>
          </cell>
          <cell r="Z3835">
            <v>1</v>
          </cell>
        </row>
        <row r="3836">
          <cell r="D3836">
            <v>41997</v>
          </cell>
          <cell r="U3836">
            <v>0</v>
          </cell>
          <cell r="Z3836">
            <v>1</v>
          </cell>
        </row>
        <row r="3837">
          <cell r="D3837">
            <v>41997</v>
          </cell>
          <cell r="U3837">
            <v>0</v>
          </cell>
          <cell r="Z3837">
            <v>1</v>
          </cell>
        </row>
        <row r="3838">
          <cell r="D3838">
            <v>41997</v>
          </cell>
          <cell r="U3838">
            <v>0</v>
          </cell>
          <cell r="Z3838">
            <v>1</v>
          </cell>
        </row>
        <row r="3839">
          <cell r="D3839">
            <v>41997</v>
          </cell>
          <cell r="U3839">
            <v>0</v>
          </cell>
          <cell r="Z3839">
            <v>1</v>
          </cell>
        </row>
        <row r="3840">
          <cell r="D3840">
            <v>41997</v>
          </cell>
          <cell r="U3840">
            <v>0</v>
          </cell>
          <cell r="Z3840">
            <v>1</v>
          </cell>
        </row>
        <row r="3841">
          <cell r="D3841">
            <v>41997</v>
          </cell>
          <cell r="U3841">
            <v>0</v>
          </cell>
          <cell r="Z3841">
            <v>1</v>
          </cell>
        </row>
        <row r="3842">
          <cell r="D3842">
            <v>41997</v>
          </cell>
          <cell r="U3842">
            <v>3</v>
          </cell>
          <cell r="Z3842">
            <v>0</v>
          </cell>
        </row>
        <row r="3843">
          <cell r="D3843">
            <v>41997</v>
          </cell>
          <cell r="U3843">
            <v>0</v>
          </cell>
          <cell r="Z3843">
            <v>1</v>
          </cell>
        </row>
        <row r="3844">
          <cell r="D3844">
            <v>41997</v>
          </cell>
          <cell r="U3844">
            <v>3</v>
          </cell>
          <cell r="Z3844">
            <v>0</v>
          </cell>
        </row>
        <row r="3845">
          <cell r="D3845">
            <v>41997</v>
          </cell>
          <cell r="U3845">
            <v>0</v>
          </cell>
          <cell r="Z3845">
            <v>1</v>
          </cell>
        </row>
        <row r="3846">
          <cell r="D3846">
            <v>41997</v>
          </cell>
          <cell r="U3846">
            <v>0</v>
          </cell>
          <cell r="Z3846">
            <v>1</v>
          </cell>
        </row>
        <row r="3847">
          <cell r="D3847">
            <v>41997</v>
          </cell>
          <cell r="U3847">
            <v>3</v>
          </cell>
          <cell r="Z3847">
            <v>0</v>
          </cell>
        </row>
        <row r="3848">
          <cell r="D3848">
            <v>41997</v>
          </cell>
          <cell r="U3848">
            <v>0</v>
          </cell>
          <cell r="Z3848">
            <v>1</v>
          </cell>
        </row>
        <row r="3849">
          <cell r="D3849">
            <v>41997</v>
          </cell>
          <cell r="U3849">
            <v>0</v>
          </cell>
          <cell r="Z3849">
            <v>1</v>
          </cell>
        </row>
        <row r="3850">
          <cell r="D3850">
            <v>41997</v>
          </cell>
          <cell r="U3850">
            <v>0</v>
          </cell>
          <cell r="Z3850">
            <v>1</v>
          </cell>
        </row>
        <row r="3851">
          <cell r="D3851">
            <v>41997</v>
          </cell>
          <cell r="U3851">
            <v>0</v>
          </cell>
          <cell r="Z3851">
            <v>1</v>
          </cell>
        </row>
        <row r="3852">
          <cell r="D3852">
            <v>41997</v>
          </cell>
          <cell r="U3852">
            <v>3</v>
          </cell>
          <cell r="Z3852">
            <v>0</v>
          </cell>
        </row>
        <row r="3853">
          <cell r="D3853">
            <v>41997</v>
          </cell>
          <cell r="U3853">
            <v>3</v>
          </cell>
          <cell r="Z3853">
            <v>0</v>
          </cell>
        </row>
        <row r="3854">
          <cell r="D3854">
            <v>41997</v>
          </cell>
          <cell r="U3854">
            <v>0</v>
          </cell>
          <cell r="Z3854">
            <v>1</v>
          </cell>
        </row>
        <row r="3855">
          <cell r="D3855">
            <v>41997</v>
          </cell>
          <cell r="U3855">
            <v>2</v>
          </cell>
          <cell r="Z3855">
            <v>0</v>
          </cell>
        </row>
        <row r="3856">
          <cell r="D3856">
            <v>41997</v>
          </cell>
          <cell r="U3856">
            <v>3</v>
          </cell>
          <cell r="Z3856">
            <v>0</v>
          </cell>
        </row>
        <row r="3857">
          <cell r="D3857">
            <v>41997</v>
          </cell>
          <cell r="U3857">
            <v>0</v>
          </cell>
          <cell r="Z3857">
            <v>1</v>
          </cell>
        </row>
        <row r="3858">
          <cell r="D3858">
            <v>41997</v>
          </cell>
          <cell r="U3858">
            <v>0</v>
          </cell>
          <cell r="Z3858">
            <v>1</v>
          </cell>
        </row>
        <row r="3859">
          <cell r="D3859">
            <v>41997</v>
          </cell>
          <cell r="U3859">
            <v>2</v>
          </cell>
          <cell r="Z3859">
            <v>0</v>
          </cell>
        </row>
        <row r="3860">
          <cell r="D3860">
            <v>41997</v>
          </cell>
          <cell r="U3860">
            <v>0</v>
          </cell>
          <cell r="Z3860">
            <v>1</v>
          </cell>
        </row>
        <row r="3861">
          <cell r="D3861">
            <v>41997</v>
          </cell>
          <cell r="U3861">
            <v>0</v>
          </cell>
          <cell r="Z3861">
            <v>1</v>
          </cell>
        </row>
        <row r="3862">
          <cell r="D3862">
            <v>41997</v>
          </cell>
          <cell r="U3862">
            <v>0</v>
          </cell>
          <cell r="Z3862">
            <v>1</v>
          </cell>
        </row>
        <row r="3863">
          <cell r="D3863">
            <v>41997</v>
          </cell>
          <cell r="U3863">
            <v>3</v>
          </cell>
          <cell r="Z3863">
            <v>0</v>
          </cell>
        </row>
        <row r="3864">
          <cell r="D3864">
            <v>41997</v>
          </cell>
          <cell r="U3864">
            <v>0</v>
          </cell>
          <cell r="Z3864">
            <v>1</v>
          </cell>
        </row>
        <row r="3865">
          <cell r="D3865">
            <v>41997</v>
          </cell>
          <cell r="U3865">
            <v>2</v>
          </cell>
          <cell r="Z3865">
            <v>0</v>
          </cell>
        </row>
        <row r="3866">
          <cell r="D3866">
            <v>41997</v>
          </cell>
          <cell r="U3866">
            <v>0</v>
          </cell>
          <cell r="Z3866">
            <v>1</v>
          </cell>
        </row>
        <row r="3867">
          <cell r="D3867">
            <v>41997</v>
          </cell>
          <cell r="U3867">
            <v>2</v>
          </cell>
          <cell r="Z3867">
            <v>0</v>
          </cell>
        </row>
        <row r="3868">
          <cell r="D3868">
            <v>41997</v>
          </cell>
          <cell r="U3868">
            <v>1</v>
          </cell>
          <cell r="Z3868">
            <v>0</v>
          </cell>
        </row>
        <row r="3869">
          <cell r="D3869">
            <v>41997</v>
          </cell>
          <cell r="U3869">
            <v>0</v>
          </cell>
          <cell r="Z3869">
            <v>1</v>
          </cell>
        </row>
        <row r="3870">
          <cell r="D3870">
            <v>41997</v>
          </cell>
          <cell r="U3870">
            <v>3</v>
          </cell>
          <cell r="Z3870">
            <v>0</v>
          </cell>
        </row>
        <row r="3871">
          <cell r="D3871">
            <v>41997</v>
          </cell>
          <cell r="U3871">
            <v>0</v>
          </cell>
          <cell r="Z3871">
            <v>1</v>
          </cell>
        </row>
        <row r="3872">
          <cell r="D3872">
            <v>41997</v>
          </cell>
          <cell r="U3872">
            <v>1</v>
          </cell>
          <cell r="Z3872">
            <v>0</v>
          </cell>
        </row>
        <row r="3873">
          <cell r="D3873">
            <v>41997</v>
          </cell>
          <cell r="U3873">
            <v>0</v>
          </cell>
          <cell r="Z3873">
            <v>1</v>
          </cell>
        </row>
        <row r="3874">
          <cell r="D3874">
            <v>41997</v>
          </cell>
          <cell r="U3874">
            <v>1</v>
          </cell>
          <cell r="Z3874">
            <v>0</v>
          </cell>
        </row>
        <row r="3875">
          <cell r="D3875">
            <v>41997</v>
          </cell>
          <cell r="U3875">
            <v>0</v>
          </cell>
          <cell r="Z3875">
            <v>1</v>
          </cell>
        </row>
        <row r="3876">
          <cell r="D3876">
            <v>41997</v>
          </cell>
          <cell r="U3876">
            <v>3</v>
          </cell>
          <cell r="Z3876">
            <v>0</v>
          </cell>
        </row>
        <row r="3877">
          <cell r="D3877">
            <v>41997</v>
          </cell>
          <cell r="U3877">
            <v>3</v>
          </cell>
          <cell r="Z3877">
            <v>0</v>
          </cell>
        </row>
        <row r="3878">
          <cell r="D3878">
            <v>41997</v>
          </cell>
          <cell r="U3878">
            <v>0</v>
          </cell>
          <cell r="Z3878">
            <v>1</v>
          </cell>
        </row>
        <row r="3879">
          <cell r="D3879">
            <v>41997</v>
          </cell>
          <cell r="U3879">
            <v>0</v>
          </cell>
          <cell r="Z3879">
            <v>1</v>
          </cell>
        </row>
        <row r="3880">
          <cell r="D3880">
            <v>41997</v>
          </cell>
          <cell r="U3880">
            <v>2</v>
          </cell>
          <cell r="Z3880">
            <v>0</v>
          </cell>
        </row>
        <row r="3881">
          <cell r="D3881">
            <v>41997</v>
          </cell>
          <cell r="U3881">
            <v>0</v>
          </cell>
          <cell r="Z3881">
            <v>1</v>
          </cell>
        </row>
        <row r="3882">
          <cell r="D3882">
            <v>41997</v>
          </cell>
          <cell r="U3882">
            <v>2</v>
          </cell>
          <cell r="Z3882">
            <v>0</v>
          </cell>
        </row>
        <row r="3883">
          <cell r="D3883">
            <v>41997</v>
          </cell>
          <cell r="U3883">
            <v>3</v>
          </cell>
          <cell r="Z3883">
            <v>0</v>
          </cell>
        </row>
        <row r="3884">
          <cell r="D3884">
            <v>41997</v>
          </cell>
          <cell r="U3884">
            <v>2</v>
          </cell>
          <cell r="Z3884">
            <v>0</v>
          </cell>
        </row>
        <row r="3885">
          <cell r="D3885">
            <v>41997</v>
          </cell>
          <cell r="U3885">
            <v>3</v>
          </cell>
          <cell r="Z3885">
            <v>0</v>
          </cell>
        </row>
        <row r="3886">
          <cell r="D3886">
            <v>41997</v>
          </cell>
          <cell r="U3886">
            <v>3</v>
          </cell>
          <cell r="Z3886">
            <v>0</v>
          </cell>
        </row>
        <row r="3887">
          <cell r="D3887">
            <v>41997</v>
          </cell>
          <cell r="U3887">
            <v>3</v>
          </cell>
          <cell r="Z3887">
            <v>0</v>
          </cell>
        </row>
        <row r="3888">
          <cell r="D3888">
            <v>41997</v>
          </cell>
          <cell r="U3888">
            <v>3</v>
          </cell>
          <cell r="Z3888">
            <v>0</v>
          </cell>
        </row>
        <row r="3889">
          <cell r="D3889">
            <v>41997</v>
          </cell>
          <cell r="U3889">
            <v>0</v>
          </cell>
          <cell r="Z3889">
            <v>1</v>
          </cell>
        </row>
        <row r="3890">
          <cell r="D3890">
            <v>41997</v>
          </cell>
          <cell r="U3890">
            <v>0</v>
          </cell>
          <cell r="Z3890">
            <v>1</v>
          </cell>
        </row>
        <row r="3891">
          <cell r="D3891">
            <v>41997</v>
          </cell>
          <cell r="U3891">
            <v>0</v>
          </cell>
          <cell r="Z3891">
            <v>1</v>
          </cell>
        </row>
        <row r="3892">
          <cell r="D3892">
            <v>41997</v>
          </cell>
          <cell r="U3892">
            <v>0</v>
          </cell>
          <cell r="Z3892">
            <v>1</v>
          </cell>
        </row>
        <row r="3893">
          <cell r="D3893">
            <v>41997</v>
          </cell>
          <cell r="U3893">
            <v>2</v>
          </cell>
          <cell r="Z3893">
            <v>0</v>
          </cell>
        </row>
        <row r="3894">
          <cell r="D3894">
            <v>41997</v>
          </cell>
          <cell r="U3894">
            <v>0</v>
          </cell>
          <cell r="Z3894">
            <v>1</v>
          </cell>
        </row>
        <row r="3895">
          <cell r="D3895">
            <v>41997</v>
          </cell>
          <cell r="U3895">
            <v>0</v>
          </cell>
          <cell r="Z3895">
            <v>1</v>
          </cell>
        </row>
        <row r="3896">
          <cell r="D3896">
            <v>41997</v>
          </cell>
          <cell r="U3896">
            <v>3</v>
          </cell>
          <cell r="Z3896">
            <v>0</v>
          </cell>
        </row>
        <row r="3897">
          <cell r="D3897">
            <v>41997</v>
          </cell>
          <cell r="U3897">
            <v>0</v>
          </cell>
          <cell r="Z3897">
            <v>1</v>
          </cell>
        </row>
        <row r="3898">
          <cell r="D3898">
            <v>41997</v>
          </cell>
          <cell r="U3898">
            <v>1</v>
          </cell>
          <cell r="Z3898">
            <v>0</v>
          </cell>
        </row>
        <row r="3899">
          <cell r="D3899">
            <v>41997</v>
          </cell>
          <cell r="U3899">
            <v>0</v>
          </cell>
          <cell r="Z3899">
            <v>1</v>
          </cell>
        </row>
        <row r="3900">
          <cell r="D3900">
            <v>41997</v>
          </cell>
          <cell r="U3900">
            <v>0</v>
          </cell>
          <cell r="Z3900">
            <v>1</v>
          </cell>
        </row>
        <row r="3901">
          <cell r="D3901">
            <v>41997</v>
          </cell>
          <cell r="U3901">
            <v>3</v>
          </cell>
          <cell r="Z3901">
            <v>0</v>
          </cell>
        </row>
        <row r="3902">
          <cell r="D3902">
            <v>41997</v>
          </cell>
          <cell r="U3902">
            <v>1</v>
          </cell>
          <cell r="Z3902">
            <v>0</v>
          </cell>
        </row>
        <row r="3903">
          <cell r="D3903">
            <v>41997</v>
          </cell>
          <cell r="U3903">
            <v>0</v>
          </cell>
          <cell r="Z3903">
            <v>1</v>
          </cell>
        </row>
        <row r="3904">
          <cell r="D3904">
            <v>41997</v>
          </cell>
          <cell r="U3904">
            <v>1</v>
          </cell>
          <cell r="Z3904">
            <v>0</v>
          </cell>
        </row>
        <row r="3905">
          <cell r="D3905">
            <v>41997</v>
          </cell>
          <cell r="U3905">
            <v>0</v>
          </cell>
          <cell r="Z3905">
            <v>1</v>
          </cell>
        </row>
        <row r="3906">
          <cell r="D3906">
            <v>41997</v>
          </cell>
          <cell r="U3906">
            <v>0</v>
          </cell>
          <cell r="Z3906">
            <v>1</v>
          </cell>
        </row>
        <row r="3907">
          <cell r="D3907">
            <v>41997</v>
          </cell>
          <cell r="U3907">
            <v>0</v>
          </cell>
          <cell r="Z3907">
            <v>1</v>
          </cell>
        </row>
        <row r="3908">
          <cell r="D3908">
            <v>41997</v>
          </cell>
          <cell r="U3908">
            <v>1</v>
          </cell>
          <cell r="Z3908">
            <v>0</v>
          </cell>
        </row>
        <row r="3909">
          <cell r="D3909">
            <v>41997</v>
          </cell>
          <cell r="U3909">
            <v>0</v>
          </cell>
          <cell r="Z3909">
            <v>1</v>
          </cell>
        </row>
        <row r="3910">
          <cell r="D3910">
            <v>41997</v>
          </cell>
          <cell r="U3910">
            <v>2</v>
          </cell>
          <cell r="Z3910">
            <v>0</v>
          </cell>
        </row>
        <row r="3911">
          <cell r="D3911">
            <v>41997</v>
          </cell>
          <cell r="U3911">
            <v>0</v>
          </cell>
          <cell r="Z3911">
            <v>1</v>
          </cell>
        </row>
        <row r="3912">
          <cell r="D3912">
            <v>41997</v>
          </cell>
          <cell r="U3912">
            <v>0</v>
          </cell>
          <cell r="Z3912">
            <v>1</v>
          </cell>
        </row>
        <row r="3913">
          <cell r="D3913">
            <v>41997</v>
          </cell>
          <cell r="U3913">
            <v>0</v>
          </cell>
          <cell r="Z3913">
            <v>1</v>
          </cell>
        </row>
        <row r="3914">
          <cell r="D3914">
            <v>41997</v>
          </cell>
          <cell r="U3914">
            <v>2</v>
          </cell>
          <cell r="Z3914">
            <v>0</v>
          </cell>
        </row>
        <row r="3915">
          <cell r="D3915">
            <v>41997</v>
          </cell>
          <cell r="U3915">
            <v>2</v>
          </cell>
          <cell r="Z3915">
            <v>0</v>
          </cell>
        </row>
        <row r="3916">
          <cell r="D3916">
            <v>41997</v>
          </cell>
          <cell r="U3916">
            <v>2</v>
          </cell>
          <cell r="Z3916">
            <v>0</v>
          </cell>
        </row>
        <row r="3917">
          <cell r="D3917">
            <v>41997</v>
          </cell>
          <cell r="U3917">
            <v>2</v>
          </cell>
          <cell r="Z3917">
            <v>0</v>
          </cell>
        </row>
        <row r="3918">
          <cell r="D3918">
            <v>41997</v>
          </cell>
          <cell r="U3918">
            <v>0</v>
          </cell>
          <cell r="Z3918">
            <v>1</v>
          </cell>
        </row>
        <row r="3919">
          <cell r="D3919">
            <v>41997</v>
          </cell>
          <cell r="U3919">
            <v>1</v>
          </cell>
          <cell r="Z3919">
            <v>0</v>
          </cell>
        </row>
        <row r="3920">
          <cell r="D3920">
            <v>41997</v>
          </cell>
          <cell r="U3920">
            <v>0</v>
          </cell>
          <cell r="Z3920">
            <v>1</v>
          </cell>
        </row>
        <row r="3921">
          <cell r="D3921">
            <v>41997</v>
          </cell>
          <cell r="U3921">
            <v>3</v>
          </cell>
          <cell r="Z3921">
            <v>0</v>
          </cell>
        </row>
        <row r="3922">
          <cell r="D3922">
            <v>41997</v>
          </cell>
          <cell r="U3922">
            <v>3</v>
          </cell>
          <cell r="Z3922">
            <v>0</v>
          </cell>
        </row>
        <row r="3923">
          <cell r="D3923">
            <v>41997</v>
          </cell>
          <cell r="U3923">
            <v>0</v>
          </cell>
          <cell r="Z3923">
            <v>1</v>
          </cell>
        </row>
        <row r="3924">
          <cell r="D3924">
            <v>41997</v>
          </cell>
          <cell r="U3924">
            <v>1</v>
          </cell>
          <cell r="Z3924">
            <v>0</v>
          </cell>
        </row>
        <row r="3925">
          <cell r="D3925">
            <v>41997</v>
          </cell>
          <cell r="U3925">
            <v>0</v>
          </cell>
          <cell r="Z3925">
            <v>1</v>
          </cell>
        </row>
        <row r="3926">
          <cell r="D3926">
            <v>41997</v>
          </cell>
          <cell r="U3926">
            <v>0</v>
          </cell>
          <cell r="Z3926">
            <v>1</v>
          </cell>
        </row>
        <row r="3927">
          <cell r="D3927">
            <v>41997</v>
          </cell>
          <cell r="U3927">
            <v>2</v>
          </cell>
          <cell r="Z3927">
            <v>0</v>
          </cell>
        </row>
        <row r="3928">
          <cell r="D3928">
            <v>41997</v>
          </cell>
          <cell r="U3928">
            <v>0</v>
          </cell>
          <cell r="Z3928">
            <v>1</v>
          </cell>
        </row>
        <row r="3929">
          <cell r="D3929">
            <v>41997</v>
          </cell>
          <cell r="U3929">
            <v>3</v>
          </cell>
          <cell r="Z3929">
            <v>0</v>
          </cell>
        </row>
        <row r="3930">
          <cell r="D3930">
            <v>41997</v>
          </cell>
          <cell r="U3930">
            <v>0</v>
          </cell>
          <cell r="Z3930">
            <v>1</v>
          </cell>
        </row>
        <row r="3931">
          <cell r="D3931">
            <v>41997</v>
          </cell>
          <cell r="U3931">
            <v>2</v>
          </cell>
          <cell r="Z3931">
            <v>0</v>
          </cell>
        </row>
        <row r="3932">
          <cell r="D3932">
            <v>41997</v>
          </cell>
          <cell r="U3932">
            <v>0</v>
          </cell>
          <cell r="Z3932">
            <v>1</v>
          </cell>
        </row>
        <row r="3933">
          <cell r="D3933">
            <v>41997</v>
          </cell>
          <cell r="U3933">
            <v>0</v>
          </cell>
          <cell r="Z3933">
            <v>1</v>
          </cell>
        </row>
        <row r="3934">
          <cell r="D3934">
            <v>41997</v>
          </cell>
          <cell r="U3934">
            <v>0</v>
          </cell>
          <cell r="Z3934">
            <v>1</v>
          </cell>
        </row>
        <row r="3935">
          <cell r="D3935">
            <v>41997</v>
          </cell>
          <cell r="U3935">
            <v>0</v>
          </cell>
          <cell r="Z3935">
            <v>1</v>
          </cell>
        </row>
        <row r="3936">
          <cell r="D3936">
            <v>41997</v>
          </cell>
          <cell r="U3936">
            <v>0</v>
          </cell>
          <cell r="Z3936">
            <v>1</v>
          </cell>
        </row>
        <row r="3937">
          <cell r="D3937">
            <v>41997</v>
          </cell>
          <cell r="U3937">
            <v>0</v>
          </cell>
          <cell r="Z3937">
            <v>1</v>
          </cell>
        </row>
        <row r="3938">
          <cell r="D3938">
            <v>41997</v>
          </cell>
          <cell r="U3938">
            <v>3</v>
          </cell>
          <cell r="Z3938">
            <v>0</v>
          </cell>
        </row>
        <row r="3939">
          <cell r="D3939">
            <v>41997</v>
          </cell>
          <cell r="U3939">
            <v>1</v>
          </cell>
          <cell r="Z3939">
            <v>0</v>
          </cell>
        </row>
        <row r="3940">
          <cell r="D3940">
            <v>41997</v>
          </cell>
          <cell r="U3940">
            <v>0</v>
          </cell>
          <cell r="Z3940">
            <v>1</v>
          </cell>
        </row>
        <row r="3941">
          <cell r="D3941">
            <v>41997</v>
          </cell>
          <cell r="U3941">
            <v>0</v>
          </cell>
          <cell r="Z3941">
            <v>1</v>
          </cell>
        </row>
        <row r="3942">
          <cell r="D3942">
            <v>41997</v>
          </cell>
          <cell r="U3942">
            <v>0</v>
          </cell>
          <cell r="Z3942">
            <v>1</v>
          </cell>
        </row>
        <row r="3943">
          <cell r="D3943">
            <v>41997</v>
          </cell>
          <cell r="U3943">
            <v>0</v>
          </cell>
          <cell r="Z3943">
            <v>1</v>
          </cell>
        </row>
        <row r="3944">
          <cell r="D3944">
            <v>41997</v>
          </cell>
          <cell r="U3944">
            <v>2</v>
          </cell>
          <cell r="Z3944">
            <v>0</v>
          </cell>
        </row>
        <row r="3945">
          <cell r="D3945">
            <v>41997</v>
          </cell>
          <cell r="U3945">
            <v>2</v>
          </cell>
          <cell r="Z3945">
            <v>0</v>
          </cell>
        </row>
        <row r="3946">
          <cell r="D3946">
            <v>41997</v>
          </cell>
          <cell r="U3946">
            <v>0</v>
          </cell>
          <cell r="Z3946">
            <v>1</v>
          </cell>
        </row>
        <row r="3947">
          <cell r="D3947">
            <v>41997</v>
          </cell>
          <cell r="U3947">
            <v>2</v>
          </cell>
          <cell r="Z3947">
            <v>0</v>
          </cell>
        </row>
        <row r="3948">
          <cell r="D3948">
            <v>41997</v>
          </cell>
          <cell r="U3948">
            <v>0</v>
          </cell>
          <cell r="Z3948">
            <v>1</v>
          </cell>
        </row>
        <row r="3949">
          <cell r="D3949">
            <v>41997</v>
          </cell>
          <cell r="U3949">
            <v>3</v>
          </cell>
          <cell r="Z3949">
            <v>0</v>
          </cell>
        </row>
        <row r="3950">
          <cell r="D3950">
            <v>41997</v>
          </cell>
          <cell r="U3950">
            <v>1</v>
          </cell>
          <cell r="Z3950">
            <v>0</v>
          </cell>
        </row>
        <row r="3951">
          <cell r="D3951">
            <v>41997</v>
          </cell>
          <cell r="U3951">
            <v>0</v>
          </cell>
          <cell r="Z3951">
            <v>1</v>
          </cell>
        </row>
        <row r="3952">
          <cell r="D3952">
            <v>41997</v>
          </cell>
          <cell r="U3952">
            <v>1</v>
          </cell>
          <cell r="Z3952">
            <v>0</v>
          </cell>
        </row>
        <row r="3953">
          <cell r="D3953">
            <v>41997</v>
          </cell>
          <cell r="U3953">
            <v>0</v>
          </cell>
          <cell r="Z3953">
            <v>1</v>
          </cell>
        </row>
        <row r="3954">
          <cell r="D3954">
            <v>41997</v>
          </cell>
          <cell r="U3954">
            <v>0</v>
          </cell>
          <cell r="Z3954">
            <v>1</v>
          </cell>
        </row>
        <row r="3955">
          <cell r="D3955">
            <v>41997</v>
          </cell>
          <cell r="U3955">
            <v>3</v>
          </cell>
          <cell r="Z3955">
            <v>0</v>
          </cell>
        </row>
        <row r="3956">
          <cell r="D3956">
            <v>41997</v>
          </cell>
          <cell r="U3956">
            <v>1</v>
          </cell>
          <cell r="Z3956">
            <v>0</v>
          </cell>
        </row>
        <row r="3957">
          <cell r="D3957">
            <v>41997</v>
          </cell>
          <cell r="U3957">
            <v>3</v>
          </cell>
          <cell r="Z3957">
            <v>0</v>
          </cell>
        </row>
        <row r="3958">
          <cell r="D3958">
            <v>41997</v>
          </cell>
          <cell r="U3958">
            <v>0</v>
          </cell>
          <cell r="Z3958">
            <v>1</v>
          </cell>
        </row>
        <row r="3959">
          <cell r="D3959">
            <v>41997</v>
          </cell>
          <cell r="U3959">
            <v>0</v>
          </cell>
          <cell r="Z3959">
            <v>1</v>
          </cell>
        </row>
        <row r="3960">
          <cell r="D3960">
            <v>41997</v>
          </cell>
          <cell r="U3960">
            <v>3</v>
          </cell>
          <cell r="Z3960">
            <v>0</v>
          </cell>
        </row>
        <row r="3961">
          <cell r="D3961">
            <v>41997</v>
          </cell>
          <cell r="U3961">
            <v>0</v>
          </cell>
          <cell r="Z3961">
            <v>1</v>
          </cell>
        </row>
        <row r="3962">
          <cell r="D3962">
            <v>41997</v>
          </cell>
          <cell r="U3962">
            <v>0</v>
          </cell>
          <cell r="Z3962">
            <v>1</v>
          </cell>
        </row>
        <row r="3963">
          <cell r="D3963">
            <v>41997</v>
          </cell>
          <cell r="U3963">
            <v>3</v>
          </cell>
          <cell r="Z3963">
            <v>0</v>
          </cell>
        </row>
        <row r="3964">
          <cell r="D3964">
            <v>41997</v>
          </cell>
          <cell r="U3964">
            <v>0</v>
          </cell>
          <cell r="Z3964">
            <v>1</v>
          </cell>
        </row>
        <row r="3965">
          <cell r="D3965">
            <v>41998</v>
          </cell>
          <cell r="U3965">
            <v>3</v>
          </cell>
          <cell r="Z3965">
            <v>0</v>
          </cell>
        </row>
        <row r="3966">
          <cell r="D3966">
            <v>41998</v>
          </cell>
          <cell r="U3966">
            <v>0</v>
          </cell>
          <cell r="Z3966">
            <v>1</v>
          </cell>
        </row>
        <row r="3967">
          <cell r="D3967">
            <v>41998</v>
          </cell>
          <cell r="U3967">
            <v>2</v>
          </cell>
          <cell r="Z3967">
            <v>0</v>
          </cell>
        </row>
        <row r="3968">
          <cell r="D3968">
            <v>41998</v>
          </cell>
          <cell r="U3968">
            <v>0</v>
          </cell>
          <cell r="Z3968">
            <v>1</v>
          </cell>
        </row>
        <row r="3969">
          <cell r="D3969">
            <v>41998</v>
          </cell>
          <cell r="U3969">
            <v>0</v>
          </cell>
          <cell r="Z3969">
            <v>1</v>
          </cell>
        </row>
        <row r="3970">
          <cell r="D3970">
            <v>41998</v>
          </cell>
          <cell r="U3970">
            <v>0</v>
          </cell>
          <cell r="Z3970">
            <v>1</v>
          </cell>
        </row>
        <row r="3971">
          <cell r="D3971">
            <v>41998</v>
          </cell>
          <cell r="U3971">
            <v>0</v>
          </cell>
          <cell r="Z3971">
            <v>1</v>
          </cell>
        </row>
        <row r="3972">
          <cell r="D3972">
            <v>41998</v>
          </cell>
          <cell r="U3972">
            <v>0</v>
          </cell>
          <cell r="Z3972">
            <v>1</v>
          </cell>
        </row>
        <row r="3973">
          <cell r="D3973">
            <v>41998</v>
          </cell>
          <cell r="U3973">
            <v>1</v>
          </cell>
          <cell r="Z3973">
            <v>0</v>
          </cell>
        </row>
        <row r="3974">
          <cell r="D3974">
            <v>41998</v>
          </cell>
          <cell r="U3974">
            <v>0</v>
          </cell>
          <cell r="Z3974">
            <v>1</v>
          </cell>
        </row>
        <row r="3975">
          <cell r="D3975">
            <v>41998</v>
          </cell>
          <cell r="U3975">
            <v>0</v>
          </cell>
          <cell r="Z3975">
            <v>1</v>
          </cell>
        </row>
        <row r="3976">
          <cell r="D3976">
            <v>41998</v>
          </cell>
          <cell r="U3976">
            <v>0</v>
          </cell>
          <cell r="Z3976">
            <v>1</v>
          </cell>
        </row>
        <row r="3977">
          <cell r="D3977">
            <v>41998</v>
          </cell>
          <cell r="U3977">
            <v>0</v>
          </cell>
          <cell r="Z3977">
            <v>1</v>
          </cell>
        </row>
        <row r="3978">
          <cell r="D3978">
            <v>41998</v>
          </cell>
          <cell r="U3978">
            <v>0</v>
          </cell>
          <cell r="Z3978">
            <v>1</v>
          </cell>
        </row>
        <row r="3979">
          <cell r="D3979">
            <v>41998</v>
          </cell>
          <cell r="U3979">
            <v>0</v>
          </cell>
          <cell r="Z3979">
            <v>1</v>
          </cell>
        </row>
        <row r="3980">
          <cell r="D3980">
            <v>41998</v>
          </cell>
          <cell r="U3980">
            <v>0</v>
          </cell>
          <cell r="Z3980">
            <v>1</v>
          </cell>
        </row>
        <row r="3981">
          <cell r="D3981">
            <v>41998</v>
          </cell>
          <cell r="U3981">
            <v>2</v>
          </cell>
          <cell r="Z3981">
            <v>0</v>
          </cell>
        </row>
        <row r="3982">
          <cell r="D3982">
            <v>41998</v>
          </cell>
          <cell r="U3982">
            <v>1</v>
          </cell>
          <cell r="Z3982">
            <v>0</v>
          </cell>
        </row>
        <row r="3983">
          <cell r="D3983">
            <v>41998</v>
          </cell>
          <cell r="U3983">
            <v>3</v>
          </cell>
          <cell r="Z3983">
            <v>0</v>
          </cell>
        </row>
        <row r="3984">
          <cell r="D3984">
            <v>41998</v>
          </cell>
          <cell r="U3984">
            <v>1</v>
          </cell>
          <cell r="Z3984">
            <v>0</v>
          </cell>
        </row>
        <row r="3985">
          <cell r="D3985">
            <v>41998</v>
          </cell>
          <cell r="U3985">
            <v>0</v>
          </cell>
          <cell r="Z3985">
            <v>1</v>
          </cell>
        </row>
        <row r="3986">
          <cell r="D3986">
            <v>41998</v>
          </cell>
          <cell r="U3986">
            <v>0</v>
          </cell>
          <cell r="Z3986">
            <v>1</v>
          </cell>
        </row>
        <row r="3987">
          <cell r="D3987">
            <v>41998</v>
          </cell>
          <cell r="U3987">
            <v>2</v>
          </cell>
          <cell r="Z3987">
            <v>0</v>
          </cell>
        </row>
        <row r="3988">
          <cell r="D3988">
            <v>41998</v>
          </cell>
          <cell r="U3988">
            <v>0</v>
          </cell>
          <cell r="Z3988">
            <v>1</v>
          </cell>
        </row>
        <row r="3989">
          <cell r="D3989">
            <v>41998</v>
          </cell>
          <cell r="U3989">
            <v>0</v>
          </cell>
          <cell r="Z3989">
            <v>1</v>
          </cell>
        </row>
        <row r="3990">
          <cell r="D3990">
            <v>41998</v>
          </cell>
          <cell r="U3990">
            <v>0</v>
          </cell>
          <cell r="Z3990">
            <v>1</v>
          </cell>
        </row>
        <row r="3991">
          <cell r="D3991">
            <v>41998</v>
          </cell>
          <cell r="U3991">
            <v>3</v>
          </cell>
          <cell r="Z3991">
            <v>0</v>
          </cell>
        </row>
        <row r="3992">
          <cell r="D3992">
            <v>41998</v>
          </cell>
          <cell r="U3992">
            <v>3</v>
          </cell>
          <cell r="Z3992">
            <v>0</v>
          </cell>
        </row>
        <row r="3993">
          <cell r="D3993">
            <v>41998</v>
          </cell>
          <cell r="U3993">
            <v>0</v>
          </cell>
          <cell r="Z3993">
            <v>1</v>
          </cell>
        </row>
        <row r="3994">
          <cell r="D3994">
            <v>41998</v>
          </cell>
          <cell r="U3994">
            <v>0</v>
          </cell>
          <cell r="Z3994">
            <v>1</v>
          </cell>
        </row>
        <row r="3995">
          <cell r="D3995">
            <v>41998</v>
          </cell>
          <cell r="U3995">
            <v>0</v>
          </cell>
          <cell r="Z3995">
            <v>1</v>
          </cell>
        </row>
        <row r="3996">
          <cell r="D3996">
            <v>41998</v>
          </cell>
          <cell r="U3996">
            <v>0</v>
          </cell>
          <cell r="Z3996">
            <v>1</v>
          </cell>
        </row>
        <row r="3997">
          <cell r="D3997">
            <v>41998</v>
          </cell>
          <cell r="U3997">
            <v>0</v>
          </cell>
          <cell r="Z3997">
            <v>1</v>
          </cell>
        </row>
        <row r="3998">
          <cell r="D3998">
            <v>41998</v>
          </cell>
          <cell r="U3998">
            <v>3</v>
          </cell>
          <cell r="Z3998">
            <v>0</v>
          </cell>
        </row>
        <row r="3999">
          <cell r="D3999">
            <v>41998</v>
          </cell>
          <cell r="U3999">
            <v>0</v>
          </cell>
          <cell r="Z3999">
            <v>1</v>
          </cell>
        </row>
        <row r="4000">
          <cell r="D4000">
            <v>41998</v>
          </cell>
          <cell r="U4000">
            <v>2</v>
          </cell>
          <cell r="Z4000">
            <v>0</v>
          </cell>
        </row>
        <row r="4001">
          <cell r="D4001">
            <v>41998</v>
          </cell>
          <cell r="U4001">
            <v>0</v>
          </cell>
          <cell r="Z4001">
            <v>1</v>
          </cell>
        </row>
        <row r="4002">
          <cell r="D4002">
            <v>41998</v>
          </cell>
          <cell r="U4002">
            <v>0</v>
          </cell>
          <cell r="Z4002">
            <v>1</v>
          </cell>
        </row>
        <row r="4003">
          <cell r="D4003">
            <v>41998</v>
          </cell>
          <cell r="U4003">
            <v>0</v>
          </cell>
          <cell r="Z4003">
            <v>1</v>
          </cell>
        </row>
        <row r="4004">
          <cell r="D4004">
            <v>41998</v>
          </cell>
          <cell r="U4004">
            <v>0</v>
          </cell>
          <cell r="Z4004">
            <v>1</v>
          </cell>
        </row>
        <row r="4005">
          <cell r="D4005">
            <v>41998</v>
          </cell>
          <cell r="U4005">
            <v>0</v>
          </cell>
          <cell r="Z4005">
            <v>1</v>
          </cell>
        </row>
        <row r="4006">
          <cell r="D4006">
            <v>41998</v>
          </cell>
          <cell r="U4006">
            <v>0</v>
          </cell>
          <cell r="Z4006">
            <v>3</v>
          </cell>
        </row>
        <row r="4007">
          <cell r="D4007">
            <v>41998</v>
          </cell>
          <cell r="U4007">
            <v>0</v>
          </cell>
          <cell r="Z4007">
            <v>1</v>
          </cell>
        </row>
        <row r="4008">
          <cell r="D4008">
            <v>41998</v>
          </cell>
          <cell r="U4008">
            <v>2</v>
          </cell>
          <cell r="Z4008">
            <v>0</v>
          </cell>
        </row>
        <row r="4009">
          <cell r="D4009">
            <v>41998</v>
          </cell>
          <cell r="U4009">
            <v>3</v>
          </cell>
          <cell r="Z4009">
            <v>0</v>
          </cell>
        </row>
        <row r="4010">
          <cell r="D4010">
            <v>41998</v>
          </cell>
          <cell r="U4010">
            <v>0</v>
          </cell>
          <cell r="Z4010">
            <v>1</v>
          </cell>
        </row>
        <row r="4011">
          <cell r="D4011">
            <v>41998</v>
          </cell>
          <cell r="U4011">
            <v>3</v>
          </cell>
          <cell r="Z4011">
            <v>0</v>
          </cell>
        </row>
        <row r="4012">
          <cell r="D4012">
            <v>41998</v>
          </cell>
          <cell r="U4012">
            <v>3</v>
          </cell>
          <cell r="Z4012">
            <v>0</v>
          </cell>
        </row>
        <row r="4013">
          <cell r="D4013">
            <v>41998</v>
          </cell>
          <cell r="U4013">
            <v>0</v>
          </cell>
          <cell r="Z4013">
            <v>1</v>
          </cell>
        </row>
        <row r="4014">
          <cell r="D4014">
            <v>41998</v>
          </cell>
          <cell r="U4014">
            <v>0</v>
          </cell>
          <cell r="Z4014">
            <v>1</v>
          </cell>
        </row>
        <row r="4015">
          <cell r="D4015">
            <v>41998</v>
          </cell>
          <cell r="U4015">
            <v>2</v>
          </cell>
          <cell r="Z4015">
            <v>0</v>
          </cell>
        </row>
        <row r="4016">
          <cell r="D4016">
            <v>41998</v>
          </cell>
          <cell r="U4016">
            <v>3</v>
          </cell>
          <cell r="Z4016">
            <v>0</v>
          </cell>
        </row>
        <row r="4017">
          <cell r="D4017">
            <v>41998</v>
          </cell>
          <cell r="U4017">
            <v>3</v>
          </cell>
          <cell r="Z4017">
            <v>0</v>
          </cell>
        </row>
        <row r="4018">
          <cell r="D4018">
            <v>41998</v>
          </cell>
          <cell r="U4018">
            <v>3</v>
          </cell>
          <cell r="Z4018">
            <v>0</v>
          </cell>
        </row>
        <row r="4019">
          <cell r="D4019">
            <v>41998</v>
          </cell>
          <cell r="U4019">
            <v>1</v>
          </cell>
          <cell r="Z4019">
            <v>0</v>
          </cell>
        </row>
        <row r="4020">
          <cell r="D4020">
            <v>41998</v>
          </cell>
          <cell r="U4020">
            <v>0</v>
          </cell>
          <cell r="Z4020">
            <v>1</v>
          </cell>
        </row>
        <row r="4021">
          <cell r="D4021">
            <v>41998</v>
          </cell>
          <cell r="U4021">
            <v>3</v>
          </cell>
          <cell r="Z4021">
            <v>0</v>
          </cell>
        </row>
        <row r="4022">
          <cell r="D4022">
            <v>41998</v>
          </cell>
          <cell r="U4022">
            <v>0</v>
          </cell>
          <cell r="Z4022">
            <v>1</v>
          </cell>
        </row>
        <row r="4023">
          <cell r="D4023">
            <v>41998</v>
          </cell>
          <cell r="U4023">
            <v>0</v>
          </cell>
          <cell r="Z4023">
            <v>1</v>
          </cell>
        </row>
        <row r="4024">
          <cell r="D4024">
            <v>41998</v>
          </cell>
          <cell r="U4024">
            <v>0</v>
          </cell>
          <cell r="Z4024">
            <v>1</v>
          </cell>
        </row>
        <row r="4025">
          <cell r="D4025">
            <v>41998</v>
          </cell>
          <cell r="U4025">
            <v>3</v>
          </cell>
          <cell r="Z4025">
            <v>0</v>
          </cell>
        </row>
        <row r="4026">
          <cell r="D4026">
            <v>41998</v>
          </cell>
          <cell r="U4026">
            <v>3</v>
          </cell>
          <cell r="Z4026">
            <v>0</v>
          </cell>
        </row>
        <row r="4027">
          <cell r="D4027">
            <v>41998</v>
          </cell>
          <cell r="U4027">
            <v>0</v>
          </cell>
          <cell r="Z4027">
            <v>1</v>
          </cell>
        </row>
        <row r="4028">
          <cell r="D4028">
            <v>41998</v>
          </cell>
          <cell r="U4028">
            <v>0</v>
          </cell>
          <cell r="Z4028">
            <v>1</v>
          </cell>
        </row>
        <row r="4029">
          <cell r="D4029">
            <v>41998</v>
          </cell>
          <cell r="U4029">
            <v>0</v>
          </cell>
          <cell r="Z4029">
            <v>1</v>
          </cell>
        </row>
        <row r="4030">
          <cell r="D4030">
            <v>41998</v>
          </cell>
          <cell r="U4030">
            <v>0</v>
          </cell>
          <cell r="Z4030">
            <v>1</v>
          </cell>
        </row>
        <row r="4031">
          <cell r="D4031">
            <v>41998</v>
          </cell>
          <cell r="U4031">
            <v>0</v>
          </cell>
          <cell r="Z4031">
            <v>1</v>
          </cell>
        </row>
        <row r="4032">
          <cell r="D4032">
            <v>41998</v>
          </cell>
          <cell r="U4032">
            <v>3</v>
          </cell>
          <cell r="Z4032">
            <v>0</v>
          </cell>
        </row>
        <row r="4033">
          <cell r="D4033">
            <v>41998</v>
          </cell>
          <cell r="U4033">
            <v>0</v>
          </cell>
          <cell r="Z4033">
            <v>3</v>
          </cell>
        </row>
        <row r="4034">
          <cell r="D4034">
            <v>41998</v>
          </cell>
          <cell r="U4034">
            <v>0</v>
          </cell>
          <cell r="Z4034">
            <v>1</v>
          </cell>
        </row>
        <row r="4035">
          <cell r="D4035">
            <v>41998</v>
          </cell>
          <cell r="U4035">
            <v>0</v>
          </cell>
          <cell r="Z4035">
            <v>1</v>
          </cell>
        </row>
        <row r="4036">
          <cell r="D4036">
            <v>41998</v>
          </cell>
          <cell r="U4036">
            <v>0</v>
          </cell>
          <cell r="Z4036">
            <v>1</v>
          </cell>
        </row>
        <row r="4037">
          <cell r="D4037">
            <v>41998</v>
          </cell>
          <cell r="U4037">
            <v>0</v>
          </cell>
          <cell r="Z4037">
            <v>1</v>
          </cell>
        </row>
        <row r="4038">
          <cell r="D4038">
            <v>41998</v>
          </cell>
          <cell r="U4038">
            <v>3</v>
          </cell>
          <cell r="Z4038">
            <v>0</v>
          </cell>
        </row>
        <row r="4039">
          <cell r="D4039">
            <v>41998</v>
          </cell>
          <cell r="U4039">
            <v>3</v>
          </cell>
          <cell r="Z4039">
            <v>0</v>
          </cell>
        </row>
        <row r="4040">
          <cell r="D4040">
            <v>41998</v>
          </cell>
          <cell r="U4040">
            <v>0</v>
          </cell>
          <cell r="Z4040">
            <v>1</v>
          </cell>
        </row>
        <row r="4041">
          <cell r="D4041">
            <v>41998</v>
          </cell>
          <cell r="U4041">
            <v>0</v>
          </cell>
          <cell r="Z4041">
            <v>1</v>
          </cell>
        </row>
        <row r="4042">
          <cell r="D4042">
            <v>41998</v>
          </cell>
          <cell r="U4042">
            <v>0</v>
          </cell>
          <cell r="Z4042">
            <v>1</v>
          </cell>
        </row>
        <row r="4043">
          <cell r="D4043">
            <v>41998</v>
          </cell>
          <cell r="U4043">
            <v>2</v>
          </cell>
          <cell r="Z4043">
            <v>0</v>
          </cell>
        </row>
        <row r="4044">
          <cell r="D4044">
            <v>41998</v>
          </cell>
          <cell r="U4044">
            <v>0</v>
          </cell>
          <cell r="Z4044">
            <v>1</v>
          </cell>
        </row>
        <row r="4045">
          <cell r="D4045">
            <v>41998</v>
          </cell>
          <cell r="U4045">
            <v>0</v>
          </cell>
          <cell r="Z4045">
            <v>1</v>
          </cell>
        </row>
        <row r="4046">
          <cell r="D4046">
            <v>41998</v>
          </cell>
          <cell r="U4046">
            <v>0</v>
          </cell>
          <cell r="Z4046">
            <v>1</v>
          </cell>
        </row>
        <row r="4047">
          <cell r="D4047">
            <v>41998</v>
          </cell>
          <cell r="U4047">
            <v>0</v>
          </cell>
          <cell r="Z4047">
            <v>1</v>
          </cell>
        </row>
        <row r="4048">
          <cell r="D4048">
            <v>41998</v>
          </cell>
          <cell r="U4048">
            <v>3</v>
          </cell>
          <cell r="Z4048">
            <v>0</v>
          </cell>
        </row>
        <row r="4049">
          <cell r="D4049">
            <v>41998</v>
          </cell>
          <cell r="U4049">
            <v>0</v>
          </cell>
          <cell r="Z4049">
            <v>1</v>
          </cell>
        </row>
        <row r="4050">
          <cell r="D4050">
            <v>41998</v>
          </cell>
          <cell r="U4050">
            <v>0</v>
          </cell>
          <cell r="Z4050">
            <v>1</v>
          </cell>
        </row>
        <row r="4051">
          <cell r="D4051">
            <v>41998</v>
          </cell>
          <cell r="U4051">
            <v>2</v>
          </cell>
          <cell r="Z4051">
            <v>0</v>
          </cell>
        </row>
        <row r="4052">
          <cell r="D4052">
            <v>41998</v>
          </cell>
          <cell r="U4052">
            <v>3</v>
          </cell>
          <cell r="Z4052">
            <v>0</v>
          </cell>
        </row>
        <row r="4053">
          <cell r="D4053">
            <v>41998</v>
          </cell>
          <cell r="U4053">
            <v>3</v>
          </cell>
          <cell r="Z4053">
            <v>0</v>
          </cell>
        </row>
        <row r="4054">
          <cell r="D4054">
            <v>41998</v>
          </cell>
          <cell r="U4054">
            <v>2</v>
          </cell>
          <cell r="Z4054">
            <v>0</v>
          </cell>
        </row>
        <row r="4055">
          <cell r="D4055">
            <v>41998</v>
          </cell>
          <cell r="U4055">
            <v>1</v>
          </cell>
          <cell r="Z4055">
            <v>0</v>
          </cell>
        </row>
        <row r="4056">
          <cell r="D4056">
            <v>41998</v>
          </cell>
          <cell r="U4056">
            <v>3</v>
          </cell>
          <cell r="Z4056">
            <v>0</v>
          </cell>
        </row>
        <row r="4057">
          <cell r="D4057">
            <v>41998</v>
          </cell>
          <cell r="U4057">
            <v>1</v>
          </cell>
          <cell r="Z4057">
            <v>0</v>
          </cell>
        </row>
        <row r="4058">
          <cell r="D4058">
            <v>41998</v>
          </cell>
          <cell r="U4058">
            <v>3</v>
          </cell>
          <cell r="Z4058">
            <v>0</v>
          </cell>
        </row>
        <row r="4059">
          <cell r="D4059">
            <v>41998</v>
          </cell>
          <cell r="U4059">
            <v>3</v>
          </cell>
          <cell r="Z4059">
            <v>0</v>
          </cell>
        </row>
        <row r="4060">
          <cell r="D4060">
            <v>41998</v>
          </cell>
          <cell r="U4060">
            <v>3</v>
          </cell>
          <cell r="Z4060">
            <v>0</v>
          </cell>
        </row>
        <row r="4061">
          <cell r="D4061">
            <v>41998</v>
          </cell>
          <cell r="U4061">
            <v>2</v>
          </cell>
          <cell r="Z4061">
            <v>0</v>
          </cell>
        </row>
        <row r="4062">
          <cell r="D4062">
            <v>41998</v>
          </cell>
          <cell r="U4062">
            <v>1</v>
          </cell>
          <cell r="Z4062">
            <v>0</v>
          </cell>
        </row>
        <row r="4063">
          <cell r="D4063">
            <v>41998</v>
          </cell>
          <cell r="U4063">
            <v>3</v>
          </cell>
          <cell r="Z4063">
            <v>0</v>
          </cell>
        </row>
        <row r="4064">
          <cell r="D4064">
            <v>41998</v>
          </cell>
          <cell r="U4064">
            <v>3</v>
          </cell>
          <cell r="Z4064">
            <v>0</v>
          </cell>
        </row>
        <row r="4065">
          <cell r="D4065">
            <v>41998</v>
          </cell>
          <cell r="U4065">
            <v>3</v>
          </cell>
          <cell r="Z4065">
            <v>0</v>
          </cell>
        </row>
        <row r="4066">
          <cell r="D4066">
            <v>41998</v>
          </cell>
          <cell r="U4066">
            <v>0</v>
          </cell>
          <cell r="Z4066">
            <v>1</v>
          </cell>
        </row>
        <row r="4067">
          <cell r="D4067">
            <v>41998</v>
          </cell>
          <cell r="U4067">
            <v>1</v>
          </cell>
          <cell r="Z4067">
            <v>0</v>
          </cell>
        </row>
        <row r="4068">
          <cell r="D4068">
            <v>41998</v>
          </cell>
          <cell r="U4068">
            <v>0</v>
          </cell>
          <cell r="Z4068">
            <v>1</v>
          </cell>
        </row>
        <row r="4069">
          <cell r="D4069">
            <v>41998</v>
          </cell>
          <cell r="U4069">
            <v>0</v>
          </cell>
          <cell r="Z4069">
            <v>1</v>
          </cell>
        </row>
        <row r="4070">
          <cell r="D4070">
            <v>41998</v>
          </cell>
          <cell r="U4070">
            <v>1</v>
          </cell>
          <cell r="Z4070">
            <v>0</v>
          </cell>
        </row>
        <row r="4071">
          <cell r="D4071">
            <v>41998</v>
          </cell>
          <cell r="U4071">
            <v>0</v>
          </cell>
          <cell r="Z4071">
            <v>1</v>
          </cell>
        </row>
        <row r="4072">
          <cell r="D4072">
            <v>41998</v>
          </cell>
          <cell r="U4072">
            <v>0</v>
          </cell>
          <cell r="Z4072">
            <v>1</v>
          </cell>
        </row>
        <row r="4073">
          <cell r="D4073">
            <v>41998</v>
          </cell>
          <cell r="U4073">
            <v>3</v>
          </cell>
          <cell r="Z4073">
            <v>0</v>
          </cell>
        </row>
        <row r="4074">
          <cell r="D4074">
            <v>41998</v>
          </cell>
          <cell r="U4074">
            <v>0</v>
          </cell>
          <cell r="Z4074">
            <v>1</v>
          </cell>
        </row>
        <row r="4075">
          <cell r="D4075">
            <v>41998</v>
          </cell>
          <cell r="U4075">
            <v>2</v>
          </cell>
          <cell r="Z4075">
            <v>0</v>
          </cell>
        </row>
        <row r="4076">
          <cell r="D4076">
            <v>41998</v>
          </cell>
          <cell r="U4076">
            <v>0</v>
          </cell>
          <cell r="Z4076">
            <v>1</v>
          </cell>
        </row>
        <row r="4077">
          <cell r="D4077">
            <v>41998</v>
          </cell>
          <cell r="U4077">
            <v>0</v>
          </cell>
          <cell r="Z4077">
            <v>1</v>
          </cell>
        </row>
        <row r="4078">
          <cell r="D4078">
            <v>41998</v>
          </cell>
          <cell r="U4078">
            <v>0</v>
          </cell>
          <cell r="Z4078">
            <v>1</v>
          </cell>
        </row>
        <row r="4079">
          <cell r="D4079">
            <v>41998</v>
          </cell>
          <cell r="U4079">
            <v>0</v>
          </cell>
          <cell r="Z4079">
            <v>1</v>
          </cell>
        </row>
        <row r="4080">
          <cell r="D4080">
            <v>41998</v>
          </cell>
          <cell r="U4080">
            <v>2</v>
          </cell>
          <cell r="Z4080">
            <v>0</v>
          </cell>
        </row>
        <row r="4081">
          <cell r="D4081">
            <v>41998</v>
          </cell>
          <cell r="U4081">
            <v>3</v>
          </cell>
          <cell r="Z4081">
            <v>0</v>
          </cell>
        </row>
        <row r="4082">
          <cell r="D4082">
            <v>41998</v>
          </cell>
          <cell r="U4082">
            <v>0</v>
          </cell>
          <cell r="Z4082">
            <v>1</v>
          </cell>
        </row>
        <row r="4083">
          <cell r="D4083">
            <v>41998</v>
          </cell>
          <cell r="U4083">
            <v>2</v>
          </cell>
          <cell r="Z4083">
            <v>0</v>
          </cell>
        </row>
        <row r="4084">
          <cell r="D4084">
            <v>41998</v>
          </cell>
          <cell r="U4084">
            <v>0</v>
          </cell>
          <cell r="Z4084">
            <v>1</v>
          </cell>
        </row>
        <row r="4085">
          <cell r="D4085">
            <v>41998</v>
          </cell>
          <cell r="U4085">
            <v>1</v>
          </cell>
          <cell r="Z4085">
            <v>0</v>
          </cell>
        </row>
        <row r="4086">
          <cell r="D4086">
            <v>41998</v>
          </cell>
          <cell r="U4086">
            <v>0</v>
          </cell>
          <cell r="Z4086">
            <v>1</v>
          </cell>
        </row>
        <row r="4087">
          <cell r="D4087">
            <v>41998</v>
          </cell>
          <cell r="U4087">
            <v>0</v>
          </cell>
          <cell r="Z4087">
            <v>1</v>
          </cell>
        </row>
        <row r="4088">
          <cell r="D4088">
            <v>41998</v>
          </cell>
          <cell r="U4088">
            <v>0</v>
          </cell>
          <cell r="Z4088">
            <v>1</v>
          </cell>
        </row>
        <row r="4089">
          <cell r="D4089">
            <v>41998</v>
          </cell>
          <cell r="U4089">
            <v>1</v>
          </cell>
          <cell r="Z4089">
            <v>0</v>
          </cell>
        </row>
        <row r="4090">
          <cell r="D4090">
            <v>41998</v>
          </cell>
          <cell r="U4090">
            <v>0</v>
          </cell>
          <cell r="Z4090">
            <v>1</v>
          </cell>
        </row>
        <row r="4091">
          <cell r="D4091">
            <v>41998</v>
          </cell>
          <cell r="U4091">
            <v>0</v>
          </cell>
          <cell r="Z4091">
            <v>1</v>
          </cell>
        </row>
        <row r="4092">
          <cell r="D4092">
            <v>41998</v>
          </cell>
          <cell r="U4092">
            <v>0</v>
          </cell>
          <cell r="Z4092">
            <v>1</v>
          </cell>
        </row>
        <row r="4093">
          <cell r="D4093">
            <v>41998</v>
          </cell>
          <cell r="U4093">
            <v>2</v>
          </cell>
          <cell r="Z4093">
            <v>0</v>
          </cell>
        </row>
        <row r="4094">
          <cell r="D4094">
            <v>41998</v>
          </cell>
          <cell r="U4094">
            <v>1</v>
          </cell>
          <cell r="Z4094">
            <v>0</v>
          </cell>
        </row>
        <row r="4095">
          <cell r="D4095">
            <v>41998</v>
          </cell>
          <cell r="U4095">
            <v>3</v>
          </cell>
          <cell r="Z4095">
            <v>0</v>
          </cell>
        </row>
        <row r="4096">
          <cell r="D4096">
            <v>41998</v>
          </cell>
          <cell r="U4096">
            <v>0</v>
          </cell>
          <cell r="Z4096">
            <v>1</v>
          </cell>
        </row>
        <row r="4097">
          <cell r="D4097">
            <v>41998</v>
          </cell>
          <cell r="U4097">
            <v>0</v>
          </cell>
          <cell r="Z4097">
            <v>1</v>
          </cell>
        </row>
        <row r="4098">
          <cell r="D4098">
            <v>41998</v>
          </cell>
          <cell r="U4098">
            <v>0</v>
          </cell>
          <cell r="Z4098">
            <v>1</v>
          </cell>
        </row>
        <row r="4099">
          <cell r="D4099">
            <v>41998</v>
          </cell>
          <cell r="U4099">
            <v>0</v>
          </cell>
          <cell r="Z4099">
            <v>1</v>
          </cell>
        </row>
        <row r="4100">
          <cell r="D4100">
            <v>41998</v>
          </cell>
          <cell r="U4100">
            <v>3</v>
          </cell>
          <cell r="Z4100">
            <v>0</v>
          </cell>
        </row>
        <row r="4101">
          <cell r="D4101">
            <v>41998</v>
          </cell>
          <cell r="U4101">
            <v>2</v>
          </cell>
          <cell r="Z4101">
            <v>0</v>
          </cell>
        </row>
        <row r="4102">
          <cell r="D4102">
            <v>41998</v>
          </cell>
          <cell r="U4102">
            <v>0</v>
          </cell>
          <cell r="Z4102">
            <v>1</v>
          </cell>
        </row>
        <row r="4103">
          <cell r="D4103">
            <v>41998</v>
          </cell>
          <cell r="U4103">
            <v>3</v>
          </cell>
          <cell r="Z4103">
            <v>0</v>
          </cell>
        </row>
        <row r="4104">
          <cell r="D4104">
            <v>41998</v>
          </cell>
          <cell r="U4104">
            <v>3</v>
          </cell>
          <cell r="Z4104">
            <v>0</v>
          </cell>
        </row>
        <row r="4105">
          <cell r="D4105">
            <v>41998</v>
          </cell>
          <cell r="U4105">
            <v>0</v>
          </cell>
          <cell r="Z4105">
            <v>1</v>
          </cell>
        </row>
        <row r="4106">
          <cell r="D4106">
            <v>41998</v>
          </cell>
          <cell r="U4106">
            <v>0</v>
          </cell>
          <cell r="Z4106">
            <v>1</v>
          </cell>
        </row>
        <row r="4107">
          <cell r="D4107">
            <v>41998</v>
          </cell>
          <cell r="U4107">
            <v>0</v>
          </cell>
          <cell r="Z4107">
            <v>1</v>
          </cell>
        </row>
        <row r="4108">
          <cell r="D4108">
            <v>41998</v>
          </cell>
          <cell r="U4108">
            <v>0</v>
          </cell>
          <cell r="Z4108">
            <v>1</v>
          </cell>
        </row>
        <row r="4109">
          <cell r="D4109">
            <v>41998</v>
          </cell>
          <cell r="U4109">
            <v>1</v>
          </cell>
          <cell r="Z4109">
            <v>0</v>
          </cell>
        </row>
        <row r="4110">
          <cell r="D4110">
            <v>41998</v>
          </cell>
          <cell r="U4110">
            <v>0</v>
          </cell>
          <cell r="Z4110">
            <v>1</v>
          </cell>
        </row>
        <row r="4111">
          <cell r="D4111">
            <v>41998</v>
          </cell>
          <cell r="U4111">
            <v>3</v>
          </cell>
          <cell r="Z4111">
            <v>0</v>
          </cell>
        </row>
        <row r="4112">
          <cell r="D4112">
            <v>41998</v>
          </cell>
          <cell r="U4112">
            <v>3</v>
          </cell>
          <cell r="Z4112">
            <v>0</v>
          </cell>
        </row>
        <row r="4113">
          <cell r="D4113">
            <v>41998</v>
          </cell>
          <cell r="U4113">
            <v>0</v>
          </cell>
          <cell r="Z4113">
            <v>1</v>
          </cell>
        </row>
        <row r="4114">
          <cell r="D4114">
            <v>41998</v>
          </cell>
          <cell r="U4114">
            <v>0</v>
          </cell>
          <cell r="Z4114">
            <v>1</v>
          </cell>
        </row>
        <row r="4115">
          <cell r="D4115">
            <v>41998</v>
          </cell>
          <cell r="U4115">
            <v>2</v>
          </cell>
          <cell r="Z4115">
            <v>0</v>
          </cell>
        </row>
        <row r="4116">
          <cell r="D4116">
            <v>41998</v>
          </cell>
          <cell r="U4116">
            <v>0</v>
          </cell>
          <cell r="Z4116">
            <v>1</v>
          </cell>
        </row>
        <row r="4117">
          <cell r="D4117">
            <v>41998</v>
          </cell>
          <cell r="U4117">
            <v>3</v>
          </cell>
          <cell r="Z4117">
            <v>0</v>
          </cell>
        </row>
        <row r="4118">
          <cell r="D4118">
            <v>41998</v>
          </cell>
          <cell r="U4118">
            <v>1</v>
          </cell>
          <cell r="Z4118">
            <v>0</v>
          </cell>
        </row>
        <row r="4119">
          <cell r="D4119">
            <v>41998</v>
          </cell>
          <cell r="U4119">
            <v>0</v>
          </cell>
          <cell r="Z4119">
            <v>1</v>
          </cell>
        </row>
        <row r="4120">
          <cell r="D4120">
            <v>41998</v>
          </cell>
          <cell r="U4120">
            <v>3</v>
          </cell>
          <cell r="Z4120">
            <v>0</v>
          </cell>
        </row>
        <row r="4121">
          <cell r="D4121">
            <v>41998</v>
          </cell>
          <cell r="U4121">
            <v>0</v>
          </cell>
          <cell r="Z4121">
            <v>1</v>
          </cell>
        </row>
        <row r="4122">
          <cell r="D4122">
            <v>41998</v>
          </cell>
          <cell r="U4122">
            <v>0</v>
          </cell>
          <cell r="Z4122">
            <v>1</v>
          </cell>
        </row>
        <row r="4123">
          <cell r="D4123">
            <v>41998</v>
          </cell>
          <cell r="U4123">
            <v>3</v>
          </cell>
          <cell r="Z4123">
            <v>0</v>
          </cell>
        </row>
        <row r="4124">
          <cell r="D4124">
            <v>41998</v>
          </cell>
          <cell r="U4124">
            <v>0</v>
          </cell>
          <cell r="Z4124">
            <v>1</v>
          </cell>
        </row>
        <row r="4125">
          <cell r="D4125">
            <v>41998</v>
          </cell>
          <cell r="U4125">
            <v>2</v>
          </cell>
          <cell r="Z4125">
            <v>0</v>
          </cell>
        </row>
        <row r="4126">
          <cell r="D4126">
            <v>41998</v>
          </cell>
          <cell r="U4126">
            <v>3</v>
          </cell>
          <cell r="Z4126">
            <v>0</v>
          </cell>
        </row>
        <row r="4127">
          <cell r="D4127">
            <v>41998</v>
          </cell>
          <cell r="U4127">
            <v>3</v>
          </cell>
          <cell r="Z4127">
            <v>0</v>
          </cell>
        </row>
        <row r="4128">
          <cell r="D4128">
            <v>41998</v>
          </cell>
          <cell r="U4128">
            <v>0</v>
          </cell>
          <cell r="Z4128">
            <v>1</v>
          </cell>
        </row>
        <row r="4129">
          <cell r="D4129">
            <v>41998</v>
          </cell>
          <cell r="U4129">
            <v>0</v>
          </cell>
          <cell r="Z4129">
            <v>1</v>
          </cell>
        </row>
        <row r="4130">
          <cell r="D4130">
            <v>41998</v>
          </cell>
          <cell r="U4130">
            <v>0</v>
          </cell>
          <cell r="Z4130">
            <v>1</v>
          </cell>
        </row>
        <row r="4131">
          <cell r="D4131">
            <v>41998</v>
          </cell>
          <cell r="U4131">
            <v>0</v>
          </cell>
          <cell r="Z4131">
            <v>1</v>
          </cell>
        </row>
        <row r="4132">
          <cell r="D4132">
            <v>41998</v>
          </cell>
          <cell r="U4132">
            <v>3</v>
          </cell>
          <cell r="Z4132">
            <v>0</v>
          </cell>
        </row>
        <row r="4133">
          <cell r="D4133">
            <v>41998</v>
          </cell>
          <cell r="U4133">
            <v>3</v>
          </cell>
          <cell r="Z4133">
            <v>0</v>
          </cell>
        </row>
        <row r="4134">
          <cell r="D4134">
            <v>41998</v>
          </cell>
          <cell r="U4134">
            <v>0</v>
          </cell>
          <cell r="Z4134">
            <v>3</v>
          </cell>
        </row>
        <row r="4135">
          <cell r="D4135">
            <v>41998</v>
          </cell>
          <cell r="U4135">
            <v>0</v>
          </cell>
          <cell r="Z4135">
            <v>1</v>
          </cell>
        </row>
        <row r="4136">
          <cell r="D4136">
            <v>41998</v>
          </cell>
          <cell r="U4136">
            <v>1</v>
          </cell>
          <cell r="Z4136">
            <v>0</v>
          </cell>
        </row>
        <row r="4137">
          <cell r="D4137">
            <v>41998</v>
          </cell>
          <cell r="U4137">
            <v>3</v>
          </cell>
          <cell r="Z4137">
            <v>0</v>
          </cell>
        </row>
        <row r="4138">
          <cell r="D4138">
            <v>41998</v>
          </cell>
          <cell r="U4138">
            <v>3</v>
          </cell>
          <cell r="Z4138">
            <v>0</v>
          </cell>
        </row>
        <row r="4139">
          <cell r="D4139">
            <v>41998</v>
          </cell>
          <cell r="U4139">
            <v>2</v>
          </cell>
          <cell r="Z4139">
            <v>0</v>
          </cell>
        </row>
        <row r="4140">
          <cell r="D4140">
            <v>41998</v>
          </cell>
          <cell r="U4140">
            <v>3</v>
          </cell>
          <cell r="Z4140">
            <v>0</v>
          </cell>
        </row>
        <row r="4141">
          <cell r="D4141">
            <v>41999</v>
          </cell>
          <cell r="U4141">
            <v>0</v>
          </cell>
          <cell r="Z4141">
            <v>1</v>
          </cell>
        </row>
        <row r="4142">
          <cell r="D4142">
            <v>41999</v>
          </cell>
          <cell r="U4142">
            <v>0</v>
          </cell>
          <cell r="Z4142">
            <v>1</v>
          </cell>
        </row>
        <row r="4143">
          <cell r="D4143">
            <v>41999</v>
          </cell>
          <cell r="U4143">
            <v>0</v>
          </cell>
          <cell r="Z4143">
            <v>1</v>
          </cell>
        </row>
        <row r="4144">
          <cell r="D4144">
            <v>41999</v>
          </cell>
          <cell r="U4144">
            <v>3</v>
          </cell>
          <cell r="Z4144">
            <v>0</v>
          </cell>
        </row>
        <row r="4145">
          <cell r="D4145">
            <v>41999</v>
          </cell>
          <cell r="U4145">
            <v>0</v>
          </cell>
          <cell r="Z4145">
            <v>1</v>
          </cell>
        </row>
        <row r="4146">
          <cell r="D4146">
            <v>41999</v>
          </cell>
          <cell r="U4146">
            <v>1</v>
          </cell>
          <cell r="Z4146">
            <v>0</v>
          </cell>
        </row>
        <row r="4147">
          <cell r="D4147">
            <v>41999</v>
          </cell>
          <cell r="U4147">
            <v>3</v>
          </cell>
          <cell r="Z4147">
            <v>0</v>
          </cell>
        </row>
        <row r="4148">
          <cell r="D4148">
            <v>41999</v>
          </cell>
          <cell r="U4148">
            <v>0</v>
          </cell>
          <cell r="Z4148">
            <v>1</v>
          </cell>
        </row>
        <row r="4149">
          <cell r="D4149">
            <v>41999</v>
          </cell>
          <cell r="U4149">
            <v>0</v>
          </cell>
          <cell r="Z4149">
            <v>1</v>
          </cell>
        </row>
        <row r="4150">
          <cell r="D4150">
            <v>41999</v>
          </cell>
          <cell r="U4150">
            <v>0</v>
          </cell>
          <cell r="Z4150">
            <v>1</v>
          </cell>
        </row>
        <row r="4151">
          <cell r="D4151">
            <v>41999</v>
          </cell>
          <cell r="U4151">
            <v>3</v>
          </cell>
          <cell r="Z4151">
            <v>0</v>
          </cell>
        </row>
        <row r="4152">
          <cell r="D4152">
            <v>41999</v>
          </cell>
          <cell r="U4152">
            <v>0</v>
          </cell>
          <cell r="Z4152">
            <v>1</v>
          </cell>
        </row>
        <row r="4153">
          <cell r="D4153">
            <v>41999</v>
          </cell>
          <cell r="U4153">
            <v>0</v>
          </cell>
          <cell r="Z4153">
            <v>1</v>
          </cell>
        </row>
        <row r="4154">
          <cell r="D4154">
            <v>41999</v>
          </cell>
          <cell r="U4154">
            <v>0</v>
          </cell>
          <cell r="Z4154">
            <v>1</v>
          </cell>
        </row>
        <row r="4155">
          <cell r="D4155">
            <v>41999</v>
          </cell>
          <cell r="U4155">
            <v>1</v>
          </cell>
          <cell r="Z4155">
            <v>0</v>
          </cell>
        </row>
        <row r="4156">
          <cell r="D4156">
            <v>41999</v>
          </cell>
          <cell r="U4156">
            <v>0</v>
          </cell>
          <cell r="Z4156">
            <v>1</v>
          </cell>
        </row>
        <row r="4157">
          <cell r="D4157">
            <v>41999</v>
          </cell>
          <cell r="U4157">
            <v>0</v>
          </cell>
          <cell r="Z4157">
            <v>1</v>
          </cell>
        </row>
        <row r="4158">
          <cell r="D4158">
            <v>41999</v>
          </cell>
          <cell r="U4158">
            <v>0</v>
          </cell>
          <cell r="Z4158">
            <v>1</v>
          </cell>
        </row>
        <row r="4159">
          <cell r="D4159">
            <v>41999</v>
          </cell>
          <cell r="U4159">
            <v>0</v>
          </cell>
          <cell r="Z4159">
            <v>1</v>
          </cell>
        </row>
        <row r="4160">
          <cell r="D4160">
            <v>41999</v>
          </cell>
          <cell r="U4160">
            <v>3</v>
          </cell>
          <cell r="Z4160">
            <v>0</v>
          </cell>
        </row>
        <row r="4161">
          <cell r="D4161">
            <v>41999</v>
          </cell>
          <cell r="U4161">
            <v>0</v>
          </cell>
          <cell r="Z4161">
            <v>1</v>
          </cell>
        </row>
        <row r="4162">
          <cell r="D4162">
            <v>41999</v>
          </cell>
          <cell r="U4162">
            <v>0</v>
          </cell>
          <cell r="Z4162">
            <v>1</v>
          </cell>
        </row>
        <row r="4163">
          <cell r="D4163">
            <v>41999</v>
          </cell>
          <cell r="U4163">
            <v>3</v>
          </cell>
          <cell r="Z4163">
            <v>0</v>
          </cell>
        </row>
        <row r="4164">
          <cell r="D4164">
            <v>41999</v>
          </cell>
          <cell r="U4164">
            <v>2</v>
          </cell>
          <cell r="Z4164">
            <v>0</v>
          </cell>
        </row>
        <row r="4165">
          <cell r="D4165">
            <v>41999</v>
          </cell>
          <cell r="U4165">
            <v>3</v>
          </cell>
          <cell r="Z4165">
            <v>0</v>
          </cell>
        </row>
        <row r="4166">
          <cell r="D4166">
            <v>41999</v>
          </cell>
          <cell r="U4166">
            <v>0</v>
          </cell>
          <cell r="Z4166">
            <v>1</v>
          </cell>
        </row>
        <row r="4167">
          <cell r="D4167">
            <v>41999</v>
          </cell>
          <cell r="U4167">
            <v>0</v>
          </cell>
          <cell r="Z4167">
            <v>1</v>
          </cell>
        </row>
        <row r="4168">
          <cell r="D4168">
            <v>41999</v>
          </cell>
          <cell r="U4168">
            <v>0</v>
          </cell>
          <cell r="Z4168">
            <v>1</v>
          </cell>
        </row>
        <row r="4169">
          <cell r="D4169">
            <v>41999</v>
          </cell>
          <cell r="U4169">
            <v>0</v>
          </cell>
          <cell r="Z4169">
            <v>1</v>
          </cell>
        </row>
        <row r="4170">
          <cell r="D4170">
            <v>41999</v>
          </cell>
          <cell r="U4170">
            <v>1</v>
          </cell>
          <cell r="Z4170">
            <v>0</v>
          </cell>
        </row>
        <row r="4171">
          <cell r="D4171">
            <v>41999</v>
          </cell>
          <cell r="U4171">
            <v>0</v>
          </cell>
          <cell r="Z4171">
            <v>1</v>
          </cell>
        </row>
        <row r="4172">
          <cell r="D4172">
            <v>41999</v>
          </cell>
          <cell r="U4172">
            <v>0</v>
          </cell>
          <cell r="Z4172">
            <v>1</v>
          </cell>
        </row>
        <row r="4173">
          <cell r="D4173">
            <v>41999</v>
          </cell>
          <cell r="U4173">
            <v>0</v>
          </cell>
          <cell r="Z4173">
            <v>1</v>
          </cell>
        </row>
        <row r="4174">
          <cell r="D4174">
            <v>41999</v>
          </cell>
          <cell r="U4174">
            <v>0</v>
          </cell>
          <cell r="Z4174">
            <v>1</v>
          </cell>
        </row>
        <row r="4175">
          <cell r="D4175">
            <v>41999</v>
          </cell>
          <cell r="U4175">
            <v>0</v>
          </cell>
          <cell r="Z4175">
            <v>1</v>
          </cell>
        </row>
        <row r="4176">
          <cell r="D4176">
            <v>41999</v>
          </cell>
          <cell r="U4176">
            <v>0</v>
          </cell>
          <cell r="Z4176">
            <v>1</v>
          </cell>
        </row>
        <row r="4177">
          <cell r="D4177">
            <v>41999</v>
          </cell>
          <cell r="U4177">
            <v>0</v>
          </cell>
          <cell r="Z4177">
            <v>1</v>
          </cell>
        </row>
        <row r="4178">
          <cell r="D4178">
            <v>41999</v>
          </cell>
          <cell r="U4178">
            <v>0</v>
          </cell>
          <cell r="Z4178">
            <v>1</v>
          </cell>
        </row>
        <row r="4179">
          <cell r="D4179">
            <v>41999</v>
          </cell>
          <cell r="U4179">
            <v>0</v>
          </cell>
          <cell r="Z4179">
            <v>1</v>
          </cell>
        </row>
        <row r="4180">
          <cell r="D4180">
            <v>41999</v>
          </cell>
          <cell r="U4180">
            <v>0</v>
          </cell>
          <cell r="Z4180">
            <v>1</v>
          </cell>
        </row>
        <row r="4181">
          <cell r="D4181">
            <v>41999</v>
          </cell>
          <cell r="U4181">
            <v>3</v>
          </cell>
          <cell r="Z4181">
            <v>0</v>
          </cell>
        </row>
        <row r="4182">
          <cell r="D4182">
            <v>41999</v>
          </cell>
          <cell r="U4182">
            <v>3</v>
          </cell>
          <cell r="Z4182">
            <v>0</v>
          </cell>
        </row>
        <row r="4183">
          <cell r="D4183">
            <v>41999</v>
          </cell>
          <cell r="U4183">
            <v>0</v>
          </cell>
          <cell r="Z4183">
            <v>1</v>
          </cell>
        </row>
        <row r="4184">
          <cell r="D4184">
            <v>41999</v>
          </cell>
          <cell r="U4184">
            <v>0</v>
          </cell>
          <cell r="Z4184">
            <v>1</v>
          </cell>
        </row>
        <row r="4185">
          <cell r="D4185">
            <v>41999</v>
          </cell>
          <cell r="U4185">
            <v>0</v>
          </cell>
          <cell r="Z4185">
            <v>1</v>
          </cell>
        </row>
        <row r="4186">
          <cell r="D4186">
            <v>41999</v>
          </cell>
          <cell r="U4186">
            <v>0</v>
          </cell>
          <cell r="Z4186">
            <v>1</v>
          </cell>
        </row>
        <row r="4187">
          <cell r="D4187">
            <v>41999</v>
          </cell>
          <cell r="U4187">
            <v>0</v>
          </cell>
          <cell r="Z4187">
            <v>1</v>
          </cell>
        </row>
        <row r="4188">
          <cell r="D4188">
            <v>41999</v>
          </cell>
          <cell r="U4188">
            <v>0</v>
          </cell>
          <cell r="Z4188">
            <v>1</v>
          </cell>
        </row>
        <row r="4189">
          <cell r="D4189">
            <v>41999</v>
          </cell>
          <cell r="U4189">
            <v>3</v>
          </cell>
          <cell r="Z4189">
            <v>0</v>
          </cell>
        </row>
        <row r="4190">
          <cell r="D4190">
            <v>41999</v>
          </cell>
          <cell r="U4190">
            <v>0</v>
          </cell>
          <cell r="Z4190">
            <v>1</v>
          </cell>
        </row>
        <row r="4191">
          <cell r="D4191">
            <v>41999</v>
          </cell>
          <cell r="U4191">
            <v>0</v>
          </cell>
          <cell r="Z4191">
            <v>1</v>
          </cell>
        </row>
        <row r="4192">
          <cell r="D4192">
            <v>41999</v>
          </cell>
          <cell r="U4192">
            <v>2</v>
          </cell>
          <cell r="Z4192">
            <v>0</v>
          </cell>
        </row>
        <row r="4193">
          <cell r="D4193">
            <v>41999</v>
          </cell>
          <cell r="U4193">
            <v>0</v>
          </cell>
          <cell r="Z4193">
            <v>1</v>
          </cell>
        </row>
        <row r="4194">
          <cell r="D4194">
            <v>41999</v>
          </cell>
          <cell r="U4194">
            <v>0</v>
          </cell>
          <cell r="Z4194">
            <v>1</v>
          </cell>
        </row>
        <row r="4195">
          <cell r="D4195">
            <v>41999</v>
          </cell>
          <cell r="U4195">
            <v>3</v>
          </cell>
          <cell r="Z4195">
            <v>0</v>
          </cell>
        </row>
        <row r="4196">
          <cell r="D4196">
            <v>41999</v>
          </cell>
          <cell r="U4196">
            <v>1</v>
          </cell>
          <cell r="Z4196">
            <v>0</v>
          </cell>
        </row>
        <row r="4197">
          <cell r="D4197">
            <v>41999</v>
          </cell>
          <cell r="U4197">
            <v>1</v>
          </cell>
          <cell r="Z4197">
            <v>0</v>
          </cell>
        </row>
        <row r="4198">
          <cell r="D4198">
            <v>41999</v>
          </cell>
          <cell r="U4198">
            <v>3</v>
          </cell>
          <cell r="Z4198">
            <v>0</v>
          </cell>
        </row>
        <row r="4199">
          <cell r="D4199">
            <v>41999</v>
          </cell>
          <cell r="U4199">
            <v>3</v>
          </cell>
          <cell r="Z4199">
            <v>0</v>
          </cell>
        </row>
        <row r="4200">
          <cell r="D4200">
            <v>41999</v>
          </cell>
          <cell r="U4200">
            <v>0</v>
          </cell>
          <cell r="Z4200">
            <v>1</v>
          </cell>
        </row>
        <row r="4201">
          <cell r="D4201">
            <v>41999</v>
          </cell>
          <cell r="U4201">
            <v>0</v>
          </cell>
          <cell r="Z4201">
            <v>1</v>
          </cell>
        </row>
        <row r="4202">
          <cell r="D4202">
            <v>41999</v>
          </cell>
          <cell r="U4202">
            <v>0</v>
          </cell>
          <cell r="Z4202">
            <v>1</v>
          </cell>
        </row>
        <row r="4203">
          <cell r="D4203">
            <v>41999</v>
          </cell>
          <cell r="U4203">
            <v>2</v>
          </cell>
          <cell r="Z4203">
            <v>0</v>
          </cell>
        </row>
        <row r="4204">
          <cell r="D4204">
            <v>41999</v>
          </cell>
          <cell r="U4204">
            <v>2</v>
          </cell>
          <cell r="Z4204">
            <v>0</v>
          </cell>
        </row>
        <row r="4205">
          <cell r="D4205">
            <v>41999</v>
          </cell>
          <cell r="U4205">
            <v>3</v>
          </cell>
          <cell r="Z4205">
            <v>0</v>
          </cell>
        </row>
        <row r="4206">
          <cell r="D4206">
            <v>41999</v>
          </cell>
          <cell r="U4206">
            <v>3</v>
          </cell>
          <cell r="Z4206">
            <v>0</v>
          </cell>
        </row>
        <row r="4207">
          <cell r="D4207">
            <v>41999</v>
          </cell>
          <cell r="U4207">
            <v>3</v>
          </cell>
          <cell r="Z4207">
            <v>0</v>
          </cell>
        </row>
        <row r="4208">
          <cell r="D4208">
            <v>41999</v>
          </cell>
          <cell r="U4208">
            <v>0</v>
          </cell>
          <cell r="Z4208">
            <v>1</v>
          </cell>
        </row>
        <row r="4209">
          <cell r="D4209">
            <v>41999</v>
          </cell>
          <cell r="U4209">
            <v>0</v>
          </cell>
          <cell r="Z4209">
            <v>1</v>
          </cell>
        </row>
        <row r="4210">
          <cell r="D4210">
            <v>41999</v>
          </cell>
          <cell r="U4210">
            <v>0</v>
          </cell>
          <cell r="Z4210">
            <v>1</v>
          </cell>
        </row>
        <row r="4211">
          <cell r="D4211">
            <v>41999</v>
          </cell>
          <cell r="U4211">
            <v>1</v>
          </cell>
          <cell r="Z4211">
            <v>0</v>
          </cell>
        </row>
        <row r="4212">
          <cell r="D4212">
            <v>41999</v>
          </cell>
          <cell r="U4212">
            <v>3</v>
          </cell>
          <cell r="Z4212">
            <v>0</v>
          </cell>
        </row>
        <row r="4213">
          <cell r="D4213">
            <v>41999</v>
          </cell>
          <cell r="U4213">
            <v>3</v>
          </cell>
          <cell r="Z4213">
            <v>0</v>
          </cell>
        </row>
        <row r="4214">
          <cell r="D4214">
            <v>41999</v>
          </cell>
          <cell r="U4214">
            <v>0</v>
          </cell>
          <cell r="Z4214">
            <v>1</v>
          </cell>
        </row>
        <row r="4215">
          <cell r="D4215">
            <v>41999</v>
          </cell>
          <cell r="U4215">
            <v>0</v>
          </cell>
          <cell r="Z4215">
            <v>1</v>
          </cell>
        </row>
        <row r="4216">
          <cell r="D4216">
            <v>41999</v>
          </cell>
          <cell r="U4216">
            <v>0</v>
          </cell>
          <cell r="Z4216">
            <v>1</v>
          </cell>
        </row>
        <row r="4217">
          <cell r="D4217">
            <v>41999</v>
          </cell>
          <cell r="U4217">
            <v>0</v>
          </cell>
          <cell r="Z4217">
            <v>1</v>
          </cell>
        </row>
        <row r="4218">
          <cell r="D4218">
            <v>41999</v>
          </cell>
          <cell r="U4218">
            <v>0</v>
          </cell>
          <cell r="Z4218">
            <v>1</v>
          </cell>
        </row>
        <row r="4219">
          <cell r="D4219">
            <v>41999</v>
          </cell>
          <cell r="U4219">
            <v>0</v>
          </cell>
          <cell r="Z4219">
            <v>1</v>
          </cell>
        </row>
        <row r="4220">
          <cell r="D4220">
            <v>41999</v>
          </cell>
          <cell r="U4220">
            <v>3</v>
          </cell>
          <cell r="Z4220">
            <v>0</v>
          </cell>
        </row>
        <row r="4221">
          <cell r="D4221">
            <v>41999</v>
          </cell>
          <cell r="U4221">
            <v>0</v>
          </cell>
          <cell r="Z4221">
            <v>1</v>
          </cell>
        </row>
        <row r="4222">
          <cell r="D4222">
            <v>41999</v>
          </cell>
          <cell r="U4222">
            <v>0</v>
          </cell>
          <cell r="Z4222">
            <v>1</v>
          </cell>
        </row>
        <row r="4223">
          <cell r="D4223">
            <v>41999</v>
          </cell>
          <cell r="U4223">
            <v>0</v>
          </cell>
          <cell r="Z4223">
            <v>1</v>
          </cell>
        </row>
        <row r="4224">
          <cell r="D4224">
            <v>41999</v>
          </cell>
          <cell r="U4224">
            <v>0</v>
          </cell>
          <cell r="Z4224">
            <v>1</v>
          </cell>
        </row>
        <row r="4225">
          <cell r="D4225">
            <v>41999</v>
          </cell>
          <cell r="U4225">
            <v>0</v>
          </cell>
          <cell r="Z4225">
            <v>1</v>
          </cell>
        </row>
        <row r="4226">
          <cell r="D4226">
            <v>41999</v>
          </cell>
          <cell r="U4226">
            <v>0</v>
          </cell>
          <cell r="Z4226">
            <v>1</v>
          </cell>
        </row>
        <row r="4227">
          <cell r="D4227">
            <v>41999</v>
          </cell>
          <cell r="U4227">
            <v>0</v>
          </cell>
          <cell r="Z4227">
            <v>1</v>
          </cell>
        </row>
        <row r="4228">
          <cell r="D4228">
            <v>41999</v>
          </cell>
          <cell r="U4228">
            <v>2</v>
          </cell>
          <cell r="Z4228">
            <v>0</v>
          </cell>
        </row>
        <row r="4229">
          <cell r="D4229">
            <v>41999</v>
          </cell>
          <cell r="U4229">
            <v>0</v>
          </cell>
          <cell r="Z4229">
            <v>1</v>
          </cell>
        </row>
        <row r="4230">
          <cell r="D4230">
            <v>41999</v>
          </cell>
          <cell r="U4230">
            <v>2</v>
          </cell>
          <cell r="Z4230">
            <v>0</v>
          </cell>
        </row>
        <row r="4231">
          <cell r="D4231">
            <v>41999</v>
          </cell>
          <cell r="U4231">
            <v>0</v>
          </cell>
          <cell r="Z4231">
            <v>1</v>
          </cell>
        </row>
        <row r="4232">
          <cell r="D4232">
            <v>41999</v>
          </cell>
          <cell r="U4232">
            <v>0</v>
          </cell>
          <cell r="Z4232">
            <v>1</v>
          </cell>
        </row>
        <row r="4233">
          <cell r="D4233">
            <v>41999</v>
          </cell>
          <cell r="U4233">
            <v>1</v>
          </cell>
          <cell r="Z4233">
            <v>0</v>
          </cell>
        </row>
        <row r="4234">
          <cell r="D4234">
            <v>41999</v>
          </cell>
          <cell r="U4234">
            <v>1</v>
          </cell>
          <cell r="Z4234">
            <v>0</v>
          </cell>
        </row>
        <row r="4235">
          <cell r="D4235">
            <v>41999</v>
          </cell>
          <cell r="U4235">
            <v>3</v>
          </cell>
          <cell r="Z4235">
            <v>0</v>
          </cell>
        </row>
        <row r="4236">
          <cell r="D4236">
            <v>41999</v>
          </cell>
          <cell r="U4236">
            <v>0</v>
          </cell>
          <cell r="Z4236">
            <v>1</v>
          </cell>
        </row>
        <row r="4237">
          <cell r="D4237">
            <v>41999</v>
          </cell>
          <cell r="U4237">
            <v>3</v>
          </cell>
          <cell r="Z4237">
            <v>0</v>
          </cell>
        </row>
        <row r="4238">
          <cell r="D4238">
            <v>41999</v>
          </cell>
          <cell r="U4238">
            <v>1</v>
          </cell>
          <cell r="Z4238">
            <v>0</v>
          </cell>
        </row>
        <row r="4239">
          <cell r="D4239">
            <v>41999</v>
          </cell>
          <cell r="U4239">
            <v>1</v>
          </cell>
          <cell r="Z4239">
            <v>0</v>
          </cell>
        </row>
        <row r="4240">
          <cell r="D4240">
            <v>41999</v>
          </cell>
          <cell r="U4240">
            <v>0</v>
          </cell>
          <cell r="Z4240">
            <v>1</v>
          </cell>
        </row>
        <row r="4241">
          <cell r="D4241">
            <v>41999</v>
          </cell>
          <cell r="U4241">
            <v>0</v>
          </cell>
          <cell r="Z4241">
            <v>1</v>
          </cell>
        </row>
        <row r="4242">
          <cell r="D4242">
            <v>41999</v>
          </cell>
          <cell r="U4242">
            <v>3</v>
          </cell>
          <cell r="Z4242">
            <v>0</v>
          </cell>
        </row>
        <row r="4243">
          <cell r="D4243">
            <v>41999</v>
          </cell>
          <cell r="U4243">
            <v>3</v>
          </cell>
          <cell r="Z4243">
            <v>0</v>
          </cell>
        </row>
        <row r="4244">
          <cell r="D4244">
            <v>41999</v>
          </cell>
          <cell r="U4244">
            <v>0</v>
          </cell>
          <cell r="Z4244">
            <v>1</v>
          </cell>
        </row>
        <row r="4245">
          <cell r="D4245">
            <v>41999</v>
          </cell>
          <cell r="U4245">
            <v>0</v>
          </cell>
          <cell r="Z4245">
            <v>1</v>
          </cell>
        </row>
        <row r="4246">
          <cell r="D4246">
            <v>41999</v>
          </cell>
          <cell r="U4246">
            <v>0</v>
          </cell>
          <cell r="Z4246">
            <v>1</v>
          </cell>
        </row>
        <row r="4247">
          <cell r="D4247">
            <v>41999</v>
          </cell>
          <cell r="U4247">
            <v>2</v>
          </cell>
          <cell r="Z4247">
            <v>0</v>
          </cell>
        </row>
        <row r="4248">
          <cell r="D4248">
            <v>41999</v>
          </cell>
          <cell r="U4248">
            <v>0</v>
          </cell>
          <cell r="Z4248">
            <v>1</v>
          </cell>
        </row>
        <row r="4249">
          <cell r="D4249">
            <v>41999</v>
          </cell>
          <cell r="U4249">
            <v>0</v>
          </cell>
          <cell r="Z4249">
            <v>1</v>
          </cell>
        </row>
        <row r="4250">
          <cell r="D4250">
            <v>41999</v>
          </cell>
          <cell r="U4250">
            <v>0</v>
          </cell>
          <cell r="Z4250">
            <v>1</v>
          </cell>
        </row>
        <row r="4251">
          <cell r="D4251">
            <v>41999</v>
          </cell>
          <cell r="U4251">
            <v>0</v>
          </cell>
          <cell r="Z4251">
            <v>1</v>
          </cell>
        </row>
        <row r="4252">
          <cell r="D4252">
            <v>41999</v>
          </cell>
          <cell r="U4252">
            <v>0</v>
          </cell>
          <cell r="Z4252">
            <v>1</v>
          </cell>
        </row>
        <row r="4253">
          <cell r="D4253">
            <v>41999</v>
          </cell>
          <cell r="U4253">
            <v>0</v>
          </cell>
          <cell r="Z4253">
            <v>1</v>
          </cell>
        </row>
        <row r="4254">
          <cell r="D4254">
            <v>41999</v>
          </cell>
          <cell r="U4254">
            <v>2</v>
          </cell>
          <cell r="Z4254">
            <v>0</v>
          </cell>
        </row>
        <row r="4255">
          <cell r="D4255">
            <v>41999</v>
          </cell>
          <cell r="U4255">
            <v>0</v>
          </cell>
          <cell r="Z4255">
            <v>1</v>
          </cell>
        </row>
        <row r="4256">
          <cell r="D4256">
            <v>41999</v>
          </cell>
          <cell r="U4256">
            <v>0</v>
          </cell>
          <cell r="Z4256">
            <v>1</v>
          </cell>
        </row>
        <row r="4257">
          <cell r="D4257">
            <v>41999</v>
          </cell>
          <cell r="U4257">
            <v>0</v>
          </cell>
          <cell r="Z4257">
            <v>1</v>
          </cell>
        </row>
        <row r="4258">
          <cell r="D4258">
            <v>41999</v>
          </cell>
          <cell r="U4258">
            <v>3</v>
          </cell>
          <cell r="Z4258">
            <v>0</v>
          </cell>
        </row>
        <row r="4259">
          <cell r="D4259">
            <v>41999</v>
          </cell>
          <cell r="U4259">
            <v>0</v>
          </cell>
          <cell r="Z4259">
            <v>1</v>
          </cell>
        </row>
        <row r="4260">
          <cell r="D4260">
            <v>41999</v>
          </cell>
          <cell r="U4260">
            <v>0</v>
          </cell>
          <cell r="Z4260">
            <v>1</v>
          </cell>
        </row>
        <row r="4261">
          <cell r="D4261">
            <v>41999</v>
          </cell>
          <cell r="U4261">
            <v>0</v>
          </cell>
          <cell r="Z4261">
            <v>1</v>
          </cell>
        </row>
        <row r="4262">
          <cell r="D4262">
            <v>41999</v>
          </cell>
          <cell r="U4262">
            <v>2</v>
          </cell>
          <cell r="Z4262">
            <v>0</v>
          </cell>
        </row>
        <row r="4263">
          <cell r="D4263">
            <v>41999</v>
          </cell>
          <cell r="U4263">
            <v>0</v>
          </cell>
          <cell r="Z4263">
            <v>1</v>
          </cell>
        </row>
        <row r="4264">
          <cell r="D4264">
            <v>41999</v>
          </cell>
          <cell r="U4264">
            <v>0</v>
          </cell>
          <cell r="Z4264">
            <v>1</v>
          </cell>
        </row>
        <row r="4265">
          <cell r="D4265">
            <v>41999</v>
          </cell>
          <cell r="U4265">
            <v>0</v>
          </cell>
          <cell r="Z4265">
            <v>1</v>
          </cell>
        </row>
        <row r="4266">
          <cell r="D4266">
            <v>41999</v>
          </cell>
          <cell r="U4266">
            <v>1</v>
          </cell>
          <cell r="Z4266">
            <v>0</v>
          </cell>
        </row>
        <row r="4267">
          <cell r="D4267">
            <v>41999</v>
          </cell>
          <cell r="U4267">
            <v>0</v>
          </cell>
          <cell r="Z4267">
            <v>1</v>
          </cell>
        </row>
        <row r="4268">
          <cell r="D4268">
            <v>41999</v>
          </cell>
          <cell r="U4268">
            <v>0</v>
          </cell>
          <cell r="Z4268">
            <v>1</v>
          </cell>
        </row>
        <row r="4269">
          <cell r="D4269">
            <v>41999</v>
          </cell>
          <cell r="U4269">
            <v>2</v>
          </cell>
          <cell r="Z4269">
            <v>0</v>
          </cell>
        </row>
        <row r="4270">
          <cell r="D4270">
            <v>41999</v>
          </cell>
          <cell r="U4270">
            <v>1</v>
          </cell>
          <cell r="Z4270">
            <v>0</v>
          </cell>
        </row>
        <row r="4271">
          <cell r="D4271">
            <v>41999</v>
          </cell>
          <cell r="U4271">
            <v>1</v>
          </cell>
          <cell r="Z4271">
            <v>0</v>
          </cell>
        </row>
        <row r="4272">
          <cell r="D4272">
            <v>41999</v>
          </cell>
          <cell r="U4272">
            <v>1</v>
          </cell>
          <cell r="Z4272">
            <v>0</v>
          </cell>
        </row>
        <row r="4273">
          <cell r="D4273">
            <v>41999</v>
          </cell>
          <cell r="U4273">
            <v>2</v>
          </cell>
          <cell r="Z4273">
            <v>0</v>
          </cell>
        </row>
        <row r="4274">
          <cell r="D4274">
            <v>41999</v>
          </cell>
          <cell r="U4274">
            <v>0</v>
          </cell>
          <cell r="Z4274">
            <v>1</v>
          </cell>
        </row>
        <row r="4275">
          <cell r="D4275">
            <v>41999</v>
          </cell>
          <cell r="U4275">
            <v>0</v>
          </cell>
          <cell r="Z4275">
            <v>1</v>
          </cell>
        </row>
        <row r="4276">
          <cell r="D4276">
            <v>41999</v>
          </cell>
          <cell r="U4276">
            <v>3</v>
          </cell>
          <cell r="Z4276">
            <v>0</v>
          </cell>
        </row>
        <row r="4277">
          <cell r="D4277">
            <v>41999</v>
          </cell>
          <cell r="U4277">
            <v>2</v>
          </cell>
          <cell r="Z4277">
            <v>0</v>
          </cell>
        </row>
        <row r="4278">
          <cell r="D4278">
            <v>41999</v>
          </cell>
          <cell r="U4278">
            <v>0</v>
          </cell>
          <cell r="Z4278">
            <v>1</v>
          </cell>
        </row>
        <row r="4279">
          <cell r="D4279">
            <v>41999</v>
          </cell>
          <cell r="U4279">
            <v>2</v>
          </cell>
          <cell r="Z4279">
            <v>0</v>
          </cell>
        </row>
        <row r="4280">
          <cell r="D4280">
            <v>41999</v>
          </cell>
          <cell r="U4280">
            <v>0</v>
          </cell>
          <cell r="Z4280">
            <v>1</v>
          </cell>
        </row>
        <row r="4281">
          <cell r="D4281">
            <v>41999</v>
          </cell>
          <cell r="U4281">
            <v>2</v>
          </cell>
          <cell r="Z4281">
            <v>0</v>
          </cell>
        </row>
        <row r="4282">
          <cell r="D4282">
            <v>41999</v>
          </cell>
          <cell r="U4282">
            <v>0</v>
          </cell>
          <cell r="Z4282">
            <v>1</v>
          </cell>
        </row>
        <row r="4283">
          <cell r="D4283">
            <v>41999</v>
          </cell>
          <cell r="U4283">
            <v>2</v>
          </cell>
          <cell r="Z4283">
            <v>0</v>
          </cell>
        </row>
        <row r="4284">
          <cell r="D4284">
            <v>41999</v>
          </cell>
          <cell r="U4284">
            <v>0</v>
          </cell>
          <cell r="Z4284">
            <v>1</v>
          </cell>
        </row>
        <row r="4285">
          <cell r="D4285">
            <v>41999</v>
          </cell>
          <cell r="U4285">
            <v>2</v>
          </cell>
          <cell r="Z4285">
            <v>0</v>
          </cell>
        </row>
        <row r="4286">
          <cell r="D4286">
            <v>41999</v>
          </cell>
          <cell r="U4286">
            <v>0</v>
          </cell>
          <cell r="Z4286">
            <v>1</v>
          </cell>
        </row>
        <row r="4287">
          <cell r="D4287">
            <v>41999</v>
          </cell>
          <cell r="U4287">
            <v>3</v>
          </cell>
          <cell r="Z4287">
            <v>0</v>
          </cell>
        </row>
        <row r="4288">
          <cell r="D4288">
            <v>41999</v>
          </cell>
          <cell r="U4288">
            <v>0</v>
          </cell>
          <cell r="Z4288">
            <v>2</v>
          </cell>
        </row>
        <row r="4289">
          <cell r="D4289">
            <v>41999</v>
          </cell>
          <cell r="U4289">
            <v>3</v>
          </cell>
          <cell r="Z4289">
            <v>0</v>
          </cell>
        </row>
        <row r="4290">
          <cell r="D4290">
            <v>41999</v>
          </cell>
          <cell r="U4290">
            <v>1</v>
          </cell>
          <cell r="Z4290">
            <v>0</v>
          </cell>
        </row>
        <row r="4291">
          <cell r="D4291">
            <v>41999</v>
          </cell>
          <cell r="U4291">
            <v>2</v>
          </cell>
          <cell r="Z4291">
            <v>0</v>
          </cell>
        </row>
        <row r="4292">
          <cell r="D4292">
            <v>42000</v>
          </cell>
          <cell r="U4292">
            <v>3</v>
          </cell>
          <cell r="Z4292">
            <v>0</v>
          </cell>
        </row>
        <row r="4293">
          <cell r="D4293">
            <v>42000</v>
          </cell>
          <cell r="U4293">
            <v>1</v>
          </cell>
          <cell r="Z4293">
            <v>0</v>
          </cell>
        </row>
        <row r="4294">
          <cell r="D4294">
            <v>42000</v>
          </cell>
          <cell r="U4294">
            <v>1</v>
          </cell>
          <cell r="Z4294">
            <v>0</v>
          </cell>
        </row>
        <row r="4295">
          <cell r="D4295">
            <v>42000</v>
          </cell>
          <cell r="U4295">
            <v>2</v>
          </cell>
          <cell r="Z4295">
            <v>0</v>
          </cell>
        </row>
        <row r="4296">
          <cell r="D4296">
            <v>42000</v>
          </cell>
          <cell r="U4296">
            <v>1</v>
          </cell>
          <cell r="Z4296">
            <v>0</v>
          </cell>
        </row>
        <row r="4297">
          <cell r="D4297">
            <v>42000</v>
          </cell>
          <cell r="U4297">
            <v>0</v>
          </cell>
          <cell r="Z4297">
            <v>1</v>
          </cell>
        </row>
        <row r="4298">
          <cell r="D4298">
            <v>42000</v>
          </cell>
          <cell r="U4298">
            <v>3</v>
          </cell>
          <cell r="Z4298">
            <v>0</v>
          </cell>
        </row>
        <row r="4299">
          <cell r="D4299">
            <v>42000</v>
          </cell>
          <cell r="U4299">
            <v>0</v>
          </cell>
          <cell r="Z4299">
            <v>1</v>
          </cell>
        </row>
        <row r="4300">
          <cell r="D4300">
            <v>42000</v>
          </cell>
          <cell r="U4300">
            <v>0</v>
          </cell>
          <cell r="Z4300">
            <v>1</v>
          </cell>
        </row>
        <row r="4301">
          <cell r="D4301">
            <v>42000</v>
          </cell>
          <cell r="U4301">
            <v>3</v>
          </cell>
          <cell r="Z4301">
            <v>0</v>
          </cell>
        </row>
        <row r="4302">
          <cell r="D4302">
            <v>42000</v>
          </cell>
          <cell r="U4302">
            <v>3</v>
          </cell>
          <cell r="Z4302">
            <v>0</v>
          </cell>
        </row>
        <row r="4303">
          <cell r="D4303">
            <v>42000</v>
          </cell>
          <cell r="U4303">
            <v>1</v>
          </cell>
          <cell r="Z4303">
            <v>0</v>
          </cell>
        </row>
        <row r="4304">
          <cell r="D4304">
            <v>42000</v>
          </cell>
          <cell r="U4304">
            <v>3</v>
          </cell>
          <cell r="Z4304">
            <v>0</v>
          </cell>
        </row>
        <row r="4305">
          <cell r="D4305">
            <v>42000</v>
          </cell>
          <cell r="U4305">
            <v>3</v>
          </cell>
          <cell r="Z4305">
            <v>0</v>
          </cell>
        </row>
        <row r="4306">
          <cell r="D4306">
            <v>42000</v>
          </cell>
          <cell r="U4306">
            <v>0</v>
          </cell>
          <cell r="Z4306">
            <v>1</v>
          </cell>
        </row>
        <row r="4307">
          <cell r="D4307">
            <v>42000</v>
          </cell>
          <cell r="U4307">
            <v>0</v>
          </cell>
          <cell r="Z4307">
            <v>1</v>
          </cell>
        </row>
        <row r="4308">
          <cell r="D4308">
            <v>42000</v>
          </cell>
          <cell r="U4308">
            <v>0</v>
          </cell>
          <cell r="Z4308">
            <v>1</v>
          </cell>
        </row>
        <row r="4309">
          <cell r="D4309">
            <v>42000</v>
          </cell>
          <cell r="U4309">
            <v>3</v>
          </cell>
          <cell r="Z4309">
            <v>0</v>
          </cell>
        </row>
        <row r="4310">
          <cell r="D4310">
            <v>42000</v>
          </cell>
          <cell r="U4310">
            <v>0</v>
          </cell>
          <cell r="Z4310">
            <v>1</v>
          </cell>
        </row>
        <row r="4311">
          <cell r="D4311">
            <v>42000</v>
          </cell>
          <cell r="U4311">
            <v>2</v>
          </cell>
          <cell r="Z4311">
            <v>0</v>
          </cell>
        </row>
        <row r="4312">
          <cell r="D4312">
            <v>42000</v>
          </cell>
          <cell r="U4312">
            <v>0</v>
          </cell>
          <cell r="Z4312">
            <v>1</v>
          </cell>
        </row>
        <row r="4313">
          <cell r="D4313">
            <v>42000</v>
          </cell>
          <cell r="U4313">
            <v>0</v>
          </cell>
          <cell r="Z4313">
            <v>1</v>
          </cell>
        </row>
        <row r="4314">
          <cell r="D4314">
            <v>42000</v>
          </cell>
          <cell r="U4314">
            <v>3</v>
          </cell>
          <cell r="Z4314">
            <v>0</v>
          </cell>
        </row>
        <row r="4315">
          <cell r="D4315">
            <v>42000</v>
          </cell>
          <cell r="U4315">
            <v>0</v>
          </cell>
          <cell r="Z4315">
            <v>1</v>
          </cell>
        </row>
        <row r="4316">
          <cell r="D4316">
            <v>42000</v>
          </cell>
          <cell r="U4316">
            <v>3</v>
          </cell>
          <cell r="Z4316">
            <v>0</v>
          </cell>
        </row>
        <row r="4317">
          <cell r="D4317">
            <v>42000</v>
          </cell>
          <cell r="U4317">
            <v>1</v>
          </cell>
          <cell r="Z4317">
            <v>0</v>
          </cell>
        </row>
        <row r="4318">
          <cell r="D4318">
            <v>42000</v>
          </cell>
          <cell r="U4318">
            <v>1</v>
          </cell>
          <cell r="Z4318">
            <v>0</v>
          </cell>
        </row>
        <row r="4319">
          <cell r="D4319">
            <v>42000</v>
          </cell>
          <cell r="U4319">
            <v>1</v>
          </cell>
          <cell r="Z4319">
            <v>0</v>
          </cell>
        </row>
        <row r="4320">
          <cell r="D4320">
            <v>42000</v>
          </cell>
          <cell r="U4320">
            <v>3</v>
          </cell>
          <cell r="Z4320">
            <v>0</v>
          </cell>
        </row>
        <row r="4321">
          <cell r="D4321">
            <v>42000</v>
          </cell>
          <cell r="U4321">
            <v>2</v>
          </cell>
          <cell r="Z4321">
            <v>0</v>
          </cell>
        </row>
        <row r="4322">
          <cell r="D4322">
            <v>42000</v>
          </cell>
          <cell r="U4322">
            <v>2</v>
          </cell>
          <cell r="Z4322">
            <v>0</v>
          </cell>
        </row>
        <row r="4323">
          <cell r="D4323">
            <v>42000</v>
          </cell>
          <cell r="U4323">
            <v>0</v>
          </cell>
          <cell r="Z4323">
            <v>1</v>
          </cell>
        </row>
        <row r="4324">
          <cell r="D4324">
            <v>42000</v>
          </cell>
          <cell r="U4324">
            <v>0</v>
          </cell>
          <cell r="Z4324">
            <v>1</v>
          </cell>
        </row>
        <row r="4325">
          <cell r="D4325">
            <v>42000</v>
          </cell>
          <cell r="U4325">
            <v>2</v>
          </cell>
          <cell r="Z4325">
            <v>0</v>
          </cell>
        </row>
        <row r="4326">
          <cell r="D4326">
            <v>42000</v>
          </cell>
          <cell r="U4326">
            <v>0</v>
          </cell>
          <cell r="Z4326">
            <v>1</v>
          </cell>
        </row>
        <row r="4327">
          <cell r="D4327">
            <v>42000</v>
          </cell>
          <cell r="U4327">
            <v>0</v>
          </cell>
          <cell r="Z4327">
            <v>1</v>
          </cell>
        </row>
        <row r="4328">
          <cell r="D4328">
            <v>42000</v>
          </cell>
          <cell r="U4328">
            <v>3</v>
          </cell>
          <cell r="Z4328">
            <v>0</v>
          </cell>
        </row>
        <row r="4329">
          <cell r="D4329">
            <v>42000</v>
          </cell>
          <cell r="U4329">
            <v>0</v>
          </cell>
          <cell r="Z4329">
            <v>1</v>
          </cell>
        </row>
        <row r="4330">
          <cell r="D4330">
            <v>42000</v>
          </cell>
          <cell r="U4330">
            <v>0</v>
          </cell>
          <cell r="Z4330">
            <v>1</v>
          </cell>
        </row>
        <row r="4331">
          <cell r="D4331">
            <v>42000</v>
          </cell>
          <cell r="U4331">
            <v>3</v>
          </cell>
          <cell r="Z4331">
            <v>0</v>
          </cell>
        </row>
        <row r="4332">
          <cell r="D4332">
            <v>42000</v>
          </cell>
          <cell r="U4332">
            <v>0</v>
          </cell>
          <cell r="Z4332">
            <v>1</v>
          </cell>
        </row>
        <row r="4333">
          <cell r="D4333">
            <v>42000</v>
          </cell>
          <cell r="U4333">
            <v>0</v>
          </cell>
          <cell r="Z4333">
            <v>1</v>
          </cell>
        </row>
        <row r="4334">
          <cell r="D4334">
            <v>42000</v>
          </cell>
          <cell r="U4334">
            <v>3</v>
          </cell>
          <cell r="Z4334">
            <v>0</v>
          </cell>
        </row>
        <row r="4335">
          <cell r="D4335">
            <v>42000</v>
          </cell>
          <cell r="U4335">
            <v>0</v>
          </cell>
          <cell r="Z4335">
            <v>1</v>
          </cell>
        </row>
        <row r="4336">
          <cell r="D4336">
            <v>42000</v>
          </cell>
          <cell r="U4336">
            <v>0</v>
          </cell>
          <cell r="Z4336">
            <v>1</v>
          </cell>
        </row>
        <row r="4337">
          <cell r="D4337">
            <v>42000</v>
          </cell>
          <cell r="U4337">
            <v>0</v>
          </cell>
          <cell r="Z4337">
            <v>1</v>
          </cell>
        </row>
        <row r="4338">
          <cell r="D4338">
            <v>42000</v>
          </cell>
          <cell r="U4338">
            <v>0</v>
          </cell>
          <cell r="Z4338">
            <v>1</v>
          </cell>
        </row>
        <row r="4339">
          <cell r="D4339">
            <v>42000</v>
          </cell>
          <cell r="U4339">
            <v>0</v>
          </cell>
          <cell r="Z4339">
            <v>1</v>
          </cell>
        </row>
        <row r="4340">
          <cell r="D4340">
            <v>42000</v>
          </cell>
          <cell r="U4340">
            <v>0</v>
          </cell>
          <cell r="Z4340">
            <v>1</v>
          </cell>
        </row>
        <row r="4341">
          <cell r="D4341">
            <v>42000</v>
          </cell>
          <cell r="U4341">
            <v>0</v>
          </cell>
          <cell r="Z4341">
            <v>1</v>
          </cell>
        </row>
        <row r="4342">
          <cell r="D4342">
            <v>42000</v>
          </cell>
          <cell r="U4342">
            <v>2</v>
          </cell>
          <cell r="Z4342">
            <v>0</v>
          </cell>
        </row>
        <row r="4343">
          <cell r="D4343">
            <v>42000</v>
          </cell>
          <cell r="U4343">
            <v>0</v>
          </cell>
          <cell r="Z4343">
            <v>1</v>
          </cell>
        </row>
        <row r="4344">
          <cell r="D4344">
            <v>42000</v>
          </cell>
          <cell r="U4344">
            <v>2</v>
          </cell>
          <cell r="Z4344">
            <v>0</v>
          </cell>
        </row>
        <row r="4345">
          <cell r="D4345">
            <v>42000</v>
          </cell>
          <cell r="U4345">
            <v>0</v>
          </cell>
          <cell r="Z4345">
            <v>1</v>
          </cell>
        </row>
        <row r="4346">
          <cell r="D4346">
            <v>42000</v>
          </cell>
          <cell r="U4346">
            <v>0</v>
          </cell>
          <cell r="Z4346">
            <v>1</v>
          </cell>
        </row>
        <row r="4347">
          <cell r="D4347">
            <v>42000</v>
          </cell>
          <cell r="U4347">
            <v>1</v>
          </cell>
          <cell r="Z4347">
            <v>0</v>
          </cell>
        </row>
        <row r="4348">
          <cell r="D4348">
            <v>42000</v>
          </cell>
          <cell r="U4348">
            <v>0</v>
          </cell>
          <cell r="Z4348">
            <v>1</v>
          </cell>
        </row>
        <row r="4349">
          <cell r="D4349">
            <v>42000</v>
          </cell>
          <cell r="U4349">
            <v>0</v>
          </cell>
          <cell r="Z4349">
            <v>1</v>
          </cell>
        </row>
        <row r="4350">
          <cell r="D4350">
            <v>42000</v>
          </cell>
          <cell r="U4350">
            <v>0</v>
          </cell>
          <cell r="Z4350">
            <v>1</v>
          </cell>
        </row>
        <row r="4351">
          <cell r="D4351">
            <v>42000</v>
          </cell>
          <cell r="U4351">
            <v>0</v>
          </cell>
          <cell r="Z4351">
            <v>1</v>
          </cell>
        </row>
        <row r="4352">
          <cell r="D4352">
            <v>42000</v>
          </cell>
          <cell r="U4352">
            <v>3</v>
          </cell>
          <cell r="Z4352">
            <v>0</v>
          </cell>
        </row>
        <row r="4353">
          <cell r="D4353">
            <v>42000</v>
          </cell>
          <cell r="U4353">
            <v>0</v>
          </cell>
          <cell r="Z4353">
            <v>1</v>
          </cell>
        </row>
        <row r="4354">
          <cell r="D4354">
            <v>42000</v>
          </cell>
          <cell r="U4354">
            <v>0</v>
          </cell>
          <cell r="Z4354">
            <v>1</v>
          </cell>
        </row>
        <row r="4355">
          <cell r="D4355">
            <v>42000</v>
          </cell>
          <cell r="U4355">
            <v>3</v>
          </cell>
          <cell r="Z4355">
            <v>0</v>
          </cell>
        </row>
        <row r="4356">
          <cell r="D4356">
            <v>42000</v>
          </cell>
          <cell r="U4356">
            <v>0</v>
          </cell>
          <cell r="Z4356">
            <v>1</v>
          </cell>
        </row>
        <row r="4357">
          <cell r="D4357">
            <v>42000</v>
          </cell>
          <cell r="U4357">
            <v>0</v>
          </cell>
          <cell r="Z4357">
            <v>1</v>
          </cell>
        </row>
        <row r="4358">
          <cell r="D4358">
            <v>42000</v>
          </cell>
          <cell r="U4358">
            <v>3</v>
          </cell>
          <cell r="Z4358">
            <v>0</v>
          </cell>
        </row>
        <row r="4359">
          <cell r="D4359">
            <v>42000</v>
          </cell>
          <cell r="U4359">
            <v>2</v>
          </cell>
          <cell r="Z4359">
            <v>0</v>
          </cell>
        </row>
        <row r="4360">
          <cell r="D4360">
            <v>42000</v>
          </cell>
          <cell r="U4360">
            <v>0</v>
          </cell>
          <cell r="Z4360">
            <v>1</v>
          </cell>
        </row>
        <row r="4361">
          <cell r="D4361">
            <v>42000</v>
          </cell>
          <cell r="U4361">
            <v>0</v>
          </cell>
          <cell r="Z4361">
            <v>1</v>
          </cell>
        </row>
        <row r="4362">
          <cell r="D4362">
            <v>42000</v>
          </cell>
          <cell r="U4362">
            <v>3</v>
          </cell>
          <cell r="Z4362">
            <v>0</v>
          </cell>
        </row>
        <row r="4363">
          <cell r="D4363">
            <v>42000</v>
          </cell>
          <cell r="U4363">
            <v>0</v>
          </cell>
          <cell r="Z4363">
            <v>1</v>
          </cell>
        </row>
        <row r="4364">
          <cell r="D4364">
            <v>42000</v>
          </cell>
          <cell r="U4364">
            <v>0</v>
          </cell>
          <cell r="Z4364">
            <v>1</v>
          </cell>
        </row>
        <row r="4365">
          <cell r="D4365">
            <v>42000</v>
          </cell>
          <cell r="U4365">
            <v>3</v>
          </cell>
          <cell r="Z4365">
            <v>0</v>
          </cell>
        </row>
        <row r="4366">
          <cell r="D4366">
            <v>42000</v>
          </cell>
          <cell r="U4366">
            <v>3</v>
          </cell>
          <cell r="Z4366">
            <v>0</v>
          </cell>
        </row>
        <row r="4367">
          <cell r="D4367">
            <v>42000</v>
          </cell>
          <cell r="U4367">
            <v>0</v>
          </cell>
          <cell r="Z4367">
            <v>1</v>
          </cell>
        </row>
        <row r="4368">
          <cell r="D4368">
            <v>42000</v>
          </cell>
          <cell r="U4368">
            <v>0</v>
          </cell>
          <cell r="Z4368">
            <v>1</v>
          </cell>
        </row>
        <row r="4369">
          <cell r="D4369">
            <v>42000</v>
          </cell>
          <cell r="U4369">
            <v>0</v>
          </cell>
          <cell r="Z4369">
            <v>1</v>
          </cell>
        </row>
        <row r="4370">
          <cell r="D4370">
            <v>42000</v>
          </cell>
          <cell r="U4370">
            <v>2</v>
          </cell>
          <cell r="Z4370">
            <v>0</v>
          </cell>
        </row>
        <row r="4371">
          <cell r="D4371">
            <v>42000</v>
          </cell>
          <cell r="U4371">
            <v>3</v>
          </cell>
          <cell r="Z4371">
            <v>0</v>
          </cell>
        </row>
        <row r="4372">
          <cell r="D4372">
            <v>42000</v>
          </cell>
          <cell r="U4372">
            <v>1</v>
          </cell>
          <cell r="Z4372">
            <v>0</v>
          </cell>
        </row>
        <row r="4373">
          <cell r="D4373">
            <v>42000</v>
          </cell>
          <cell r="U4373">
            <v>3</v>
          </cell>
          <cell r="Z4373">
            <v>0</v>
          </cell>
        </row>
        <row r="4374">
          <cell r="D4374">
            <v>42000</v>
          </cell>
          <cell r="U4374">
            <v>3</v>
          </cell>
          <cell r="Z4374">
            <v>0</v>
          </cell>
        </row>
        <row r="4375">
          <cell r="D4375">
            <v>42000</v>
          </cell>
          <cell r="U4375">
            <v>3</v>
          </cell>
          <cell r="Z4375">
            <v>0</v>
          </cell>
        </row>
        <row r="4376">
          <cell r="D4376">
            <v>42000</v>
          </cell>
          <cell r="U4376">
            <v>0</v>
          </cell>
          <cell r="Z4376">
            <v>1</v>
          </cell>
        </row>
        <row r="4377">
          <cell r="D4377">
            <v>42000</v>
          </cell>
          <cell r="U4377">
            <v>0</v>
          </cell>
          <cell r="Z4377">
            <v>1</v>
          </cell>
        </row>
        <row r="4378">
          <cell r="D4378">
            <v>42000</v>
          </cell>
          <cell r="U4378">
            <v>0</v>
          </cell>
          <cell r="Z4378">
            <v>1</v>
          </cell>
        </row>
        <row r="4379">
          <cell r="D4379">
            <v>42000</v>
          </cell>
          <cell r="U4379">
            <v>0</v>
          </cell>
          <cell r="Z4379">
            <v>1</v>
          </cell>
        </row>
        <row r="4380">
          <cell r="D4380">
            <v>42000</v>
          </cell>
          <cell r="U4380">
            <v>2</v>
          </cell>
          <cell r="Z4380">
            <v>0</v>
          </cell>
        </row>
        <row r="4381">
          <cell r="D4381">
            <v>42000</v>
          </cell>
          <cell r="U4381">
            <v>3</v>
          </cell>
          <cell r="Z4381">
            <v>0</v>
          </cell>
        </row>
        <row r="4382">
          <cell r="D4382">
            <v>42000</v>
          </cell>
          <cell r="U4382">
            <v>2</v>
          </cell>
          <cell r="Z4382">
            <v>0</v>
          </cell>
        </row>
        <row r="4383">
          <cell r="D4383">
            <v>42000</v>
          </cell>
          <cell r="U4383">
            <v>2</v>
          </cell>
          <cell r="Z4383">
            <v>0</v>
          </cell>
        </row>
        <row r="4384">
          <cell r="D4384">
            <v>42000</v>
          </cell>
          <cell r="U4384">
            <v>0</v>
          </cell>
          <cell r="Z4384">
            <v>1</v>
          </cell>
        </row>
        <row r="4385">
          <cell r="D4385">
            <v>42000</v>
          </cell>
          <cell r="U4385">
            <v>0</v>
          </cell>
          <cell r="Z4385">
            <v>1</v>
          </cell>
        </row>
        <row r="4386">
          <cell r="D4386">
            <v>42000</v>
          </cell>
          <cell r="U4386">
            <v>3</v>
          </cell>
          <cell r="Z4386">
            <v>0</v>
          </cell>
        </row>
        <row r="4387">
          <cell r="D4387">
            <v>42000</v>
          </cell>
          <cell r="U4387">
            <v>0</v>
          </cell>
          <cell r="Z4387">
            <v>1</v>
          </cell>
        </row>
        <row r="4388">
          <cell r="D4388">
            <v>42001</v>
          </cell>
          <cell r="U4388">
            <v>3</v>
          </cell>
          <cell r="Z4388">
            <v>0</v>
          </cell>
        </row>
        <row r="4389">
          <cell r="D4389">
            <v>42001</v>
          </cell>
          <cell r="U4389">
            <v>3</v>
          </cell>
          <cell r="Z4389">
            <v>0</v>
          </cell>
        </row>
        <row r="4390">
          <cell r="D4390">
            <v>42001</v>
          </cell>
          <cell r="U4390">
            <v>3</v>
          </cell>
          <cell r="Z4390">
            <v>0</v>
          </cell>
        </row>
        <row r="4391">
          <cell r="D4391">
            <v>42001</v>
          </cell>
          <cell r="U4391">
            <v>0</v>
          </cell>
          <cell r="Z4391">
            <v>1</v>
          </cell>
        </row>
        <row r="4392">
          <cell r="D4392">
            <v>42001</v>
          </cell>
          <cell r="U4392">
            <v>2</v>
          </cell>
          <cell r="Z4392">
            <v>0</v>
          </cell>
        </row>
        <row r="4393">
          <cell r="D4393">
            <v>42001</v>
          </cell>
          <cell r="U4393">
            <v>0</v>
          </cell>
          <cell r="Z4393">
            <v>1</v>
          </cell>
        </row>
        <row r="4394">
          <cell r="D4394">
            <v>42001</v>
          </cell>
          <cell r="U4394">
            <v>0</v>
          </cell>
          <cell r="Z4394">
            <v>1</v>
          </cell>
        </row>
        <row r="4395">
          <cell r="D4395">
            <v>42001</v>
          </cell>
          <cell r="U4395">
            <v>3</v>
          </cell>
          <cell r="Z4395">
            <v>0</v>
          </cell>
        </row>
        <row r="4396">
          <cell r="D4396">
            <v>42001</v>
          </cell>
          <cell r="U4396">
            <v>0</v>
          </cell>
          <cell r="Z4396">
            <v>1</v>
          </cell>
        </row>
        <row r="4397">
          <cell r="D4397">
            <v>42001</v>
          </cell>
          <cell r="U4397">
            <v>2</v>
          </cell>
          <cell r="Z4397">
            <v>0</v>
          </cell>
        </row>
        <row r="4398">
          <cell r="D4398">
            <v>42001</v>
          </cell>
          <cell r="U4398">
            <v>3</v>
          </cell>
          <cell r="Z4398">
            <v>0</v>
          </cell>
        </row>
        <row r="4399">
          <cell r="D4399">
            <v>42001</v>
          </cell>
          <cell r="U4399">
            <v>0</v>
          </cell>
          <cell r="Z4399">
            <v>1</v>
          </cell>
        </row>
        <row r="4400">
          <cell r="D4400">
            <v>42001</v>
          </cell>
          <cell r="U4400">
            <v>2</v>
          </cell>
          <cell r="Z4400">
            <v>0</v>
          </cell>
        </row>
        <row r="4401">
          <cell r="D4401">
            <v>42001</v>
          </cell>
          <cell r="U4401">
            <v>1</v>
          </cell>
          <cell r="Z4401">
            <v>0</v>
          </cell>
        </row>
        <row r="4402">
          <cell r="D4402">
            <v>42001</v>
          </cell>
          <cell r="U4402">
            <v>0</v>
          </cell>
          <cell r="Z4402">
            <v>1</v>
          </cell>
        </row>
        <row r="4403">
          <cell r="D4403">
            <v>42001</v>
          </cell>
          <cell r="U4403">
            <v>0</v>
          </cell>
          <cell r="Z4403">
            <v>1</v>
          </cell>
        </row>
        <row r="4404">
          <cell r="D4404">
            <v>42001</v>
          </cell>
          <cell r="U4404">
            <v>0</v>
          </cell>
          <cell r="Z4404">
            <v>1</v>
          </cell>
        </row>
        <row r="4405">
          <cell r="D4405">
            <v>42001</v>
          </cell>
          <cell r="U4405">
            <v>0</v>
          </cell>
          <cell r="Z4405">
            <v>1</v>
          </cell>
        </row>
        <row r="4406">
          <cell r="D4406">
            <v>42001</v>
          </cell>
          <cell r="U4406">
            <v>0</v>
          </cell>
          <cell r="Z4406">
            <v>1</v>
          </cell>
        </row>
        <row r="4407">
          <cell r="D4407">
            <v>42001</v>
          </cell>
          <cell r="U4407">
            <v>0</v>
          </cell>
          <cell r="Z4407">
            <v>1</v>
          </cell>
        </row>
        <row r="4408">
          <cell r="D4408">
            <v>42001</v>
          </cell>
          <cell r="U4408">
            <v>0</v>
          </cell>
          <cell r="Z4408">
            <v>1</v>
          </cell>
        </row>
        <row r="4409">
          <cell r="D4409">
            <v>42001</v>
          </cell>
          <cell r="U4409">
            <v>2</v>
          </cell>
          <cell r="Z4409">
            <v>0</v>
          </cell>
        </row>
        <row r="4410">
          <cell r="D4410">
            <v>42001</v>
          </cell>
          <cell r="U4410">
            <v>0</v>
          </cell>
          <cell r="Z4410">
            <v>1</v>
          </cell>
        </row>
        <row r="4411">
          <cell r="D4411">
            <v>42001</v>
          </cell>
          <cell r="U4411">
            <v>3</v>
          </cell>
          <cell r="Z4411">
            <v>0</v>
          </cell>
        </row>
        <row r="4412">
          <cell r="D4412">
            <v>42001</v>
          </cell>
          <cell r="U4412">
            <v>3</v>
          </cell>
          <cell r="Z4412">
            <v>0</v>
          </cell>
        </row>
        <row r="4413">
          <cell r="D4413">
            <v>42001</v>
          </cell>
          <cell r="U4413">
            <v>3</v>
          </cell>
          <cell r="Z4413">
            <v>0</v>
          </cell>
        </row>
        <row r="4414">
          <cell r="D4414">
            <v>42001</v>
          </cell>
          <cell r="U4414">
            <v>0</v>
          </cell>
          <cell r="Z4414">
            <v>1</v>
          </cell>
        </row>
        <row r="4415">
          <cell r="D4415">
            <v>42001</v>
          </cell>
          <cell r="U4415">
            <v>0</v>
          </cell>
          <cell r="Z4415">
            <v>1</v>
          </cell>
        </row>
        <row r="4416">
          <cell r="D4416">
            <v>42001</v>
          </cell>
          <cell r="U4416">
            <v>3</v>
          </cell>
          <cell r="Z4416">
            <v>0</v>
          </cell>
        </row>
        <row r="4417">
          <cell r="D4417">
            <v>42001</v>
          </cell>
          <cell r="U4417">
            <v>0</v>
          </cell>
          <cell r="Z4417">
            <v>1</v>
          </cell>
        </row>
        <row r="4418">
          <cell r="D4418">
            <v>42001</v>
          </cell>
          <cell r="U4418">
            <v>0</v>
          </cell>
          <cell r="Z4418">
            <v>1</v>
          </cell>
        </row>
        <row r="4419">
          <cell r="D4419">
            <v>42001</v>
          </cell>
          <cell r="U4419">
            <v>1</v>
          </cell>
          <cell r="Z4419">
            <v>0</v>
          </cell>
        </row>
        <row r="4420">
          <cell r="D4420">
            <v>42001</v>
          </cell>
          <cell r="U4420">
            <v>3</v>
          </cell>
          <cell r="Z4420">
            <v>0</v>
          </cell>
        </row>
        <row r="4421">
          <cell r="D4421">
            <v>42001</v>
          </cell>
          <cell r="U4421">
            <v>0</v>
          </cell>
          <cell r="Z4421">
            <v>1</v>
          </cell>
        </row>
        <row r="4422">
          <cell r="D4422">
            <v>42001</v>
          </cell>
          <cell r="U4422">
            <v>0</v>
          </cell>
          <cell r="Z4422">
            <v>1</v>
          </cell>
        </row>
        <row r="4423">
          <cell r="D4423">
            <v>42001</v>
          </cell>
          <cell r="U4423">
            <v>0</v>
          </cell>
          <cell r="Z4423">
            <v>1</v>
          </cell>
        </row>
        <row r="4424">
          <cell r="D4424">
            <v>42001</v>
          </cell>
          <cell r="U4424">
            <v>3</v>
          </cell>
          <cell r="Z4424">
            <v>0</v>
          </cell>
        </row>
        <row r="4425">
          <cell r="D4425">
            <v>42001</v>
          </cell>
          <cell r="U4425">
            <v>0</v>
          </cell>
          <cell r="Z4425">
            <v>1</v>
          </cell>
        </row>
        <row r="4426">
          <cell r="D4426">
            <v>42001</v>
          </cell>
          <cell r="U4426">
            <v>1</v>
          </cell>
          <cell r="Z4426">
            <v>0</v>
          </cell>
        </row>
        <row r="4427">
          <cell r="D4427">
            <v>42001</v>
          </cell>
          <cell r="U4427">
            <v>1</v>
          </cell>
          <cell r="Z4427">
            <v>0</v>
          </cell>
        </row>
        <row r="4428">
          <cell r="D4428">
            <v>42001</v>
          </cell>
          <cell r="U4428">
            <v>0</v>
          </cell>
          <cell r="Z4428">
            <v>1</v>
          </cell>
        </row>
        <row r="4429">
          <cell r="D4429">
            <v>42001</v>
          </cell>
          <cell r="U4429">
            <v>0</v>
          </cell>
          <cell r="Z4429">
            <v>1</v>
          </cell>
        </row>
        <row r="4430">
          <cell r="D4430">
            <v>42001</v>
          </cell>
          <cell r="U4430">
            <v>3</v>
          </cell>
          <cell r="Z4430">
            <v>0</v>
          </cell>
        </row>
        <row r="4431">
          <cell r="D4431">
            <v>42001</v>
          </cell>
          <cell r="U4431">
            <v>0</v>
          </cell>
          <cell r="Z4431">
            <v>1</v>
          </cell>
        </row>
        <row r="4432">
          <cell r="D4432">
            <v>42001</v>
          </cell>
          <cell r="U4432">
            <v>3</v>
          </cell>
          <cell r="Z4432">
            <v>0</v>
          </cell>
        </row>
        <row r="4433">
          <cell r="D4433">
            <v>42001</v>
          </cell>
          <cell r="U4433">
            <v>0</v>
          </cell>
          <cell r="Z4433">
            <v>1</v>
          </cell>
        </row>
        <row r="4434">
          <cell r="D4434">
            <v>42001</v>
          </cell>
          <cell r="U4434">
            <v>0</v>
          </cell>
          <cell r="Z4434">
            <v>1</v>
          </cell>
        </row>
        <row r="4435">
          <cell r="D4435">
            <v>42001</v>
          </cell>
          <cell r="U4435">
            <v>3</v>
          </cell>
          <cell r="Z4435">
            <v>0</v>
          </cell>
        </row>
        <row r="4436">
          <cell r="D4436">
            <v>42001</v>
          </cell>
          <cell r="U4436">
            <v>0</v>
          </cell>
          <cell r="Z4436">
            <v>1</v>
          </cell>
        </row>
        <row r="4437">
          <cell r="D4437">
            <v>42001</v>
          </cell>
          <cell r="U4437">
            <v>0</v>
          </cell>
          <cell r="Z4437">
            <v>1</v>
          </cell>
        </row>
        <row r="4438">
          <cell r="D4438">
            <v>42001</v>
          </cell>
          <cell r="U4438">
            <v>0</v>
          </cell>
          <cell r="Z4438">
            <v>1</v>
          </cell>
        </row>
        <row r="4439">
          <cell r="D4439">
            <v>42001</v>
          </cell>
          <cell r="U4439">
            <v>3</v>
          </cell>
          <cell r="Z4439">
            <v>0</v>
          </cell>
        </row>
        <row r="4440">
          <cell r="D4440">
            <v>42001</v>
          </cell>
          <cell r="U4440">
            <v>3</v>
          </cell>
          <cell r="Z4440">
            <v>0</v>
          </cell>
        </row>
        <row r="4441">
          <cell r="D4441">
            <v>42001</v>
          </cell>
          <cell r="U4441">
            <v>2</v>
          </cell>
          <cell r="Z4441">
            <v>0</v>
          </cell>
        </row>
        <row r="4442">
          <cell r="D4442">
            <v>42001</v>
          </cell>
          <cell r="U4442">
            <v>3</v>
          </cell>
          <cell r="Z4442">
            <v>0</v>
          </cell>
        </row>
        <row r="4443">
          <cell r="D4443">
            <v>42001</v>
          </cell>
          <cell r="U4443">
            <v>0</v>
          </cell>
          <cell r="Z4443">
            <v>1</v>
          </cell>
        </row>
        <row r="4444">
          <cell r="D4444">
            <v>42001</v>
          </cell>
          <cell r="U4444">
            <v>0</v>
          </cell>
          <cell r="Z4444">
            <v>1</v>
          </cell>
        </row>
        <row r="4445">
          <cell r="D4445">
            <v>42001</v>
          </cell>
          <cell r="U4445">
            <v>0</v>
          </cell>
          <cell r="Z4445">
            <v>1</v>
          </cell>
        </row>
        <row r="4446">
          <cell r="D4446">
            <v>42001</v>
          </cell>
          <cell r="U4446">
            <v>0</v>
          </cell>
          <cell r="Z4446">
            <v>1</v>
          </cell>
        </row>
        <row r="4447">
          <cell r="D4447">
            <v>42001</v>
          </cell>
          <cell r="U4447">
            <v>0</v>
          </cell>
          <cell r="Z4447">
            <v>1</v>
          </cell>
        </row>
        <row r="4448">
          <cell r="D4448">
            <v>42001</v>
          </cell>
          <cell r="U4448">
            <v>0</v>
          </cell>
          <cell r="Z4448">
            <v>1</v>
          </cell>
        </row>
        <row r="4449">
          <cell r="D4449">
            <v>42001</v>
          </cell>
          <cell r="U4449">
            <v>3</v>
          </cell>
          <cell r="Z4449">
            <v>0</v>
          </cell>
        </row>
        <row r="4450">
          <cell r="D4450">
            <v>42001</v>
          </cell>
          <cell r="U4450">
            <v>0</v>
          </cell>
          <cell r="Z4450">
            <v>1</v>
          </cell>
        </row>
        <row r="4451">
          <cell r="D4451">
            <v>42001</v>
          </cell>
          <cell r="U4451">
            <v>3</v>
          </cell>
          <cell r="Z4451">
            <v>0</v>
          </cell>
        </row>
        <row r="4452">
          <cell r="D4452">
            <v>42001</v>
          </cell>
          <cell r="U4452">
            <v>0</v>
          </cell>
          <cell r="Z4452">
            <v>1</v>
          </cell>
        </row>
        <row r="4453">
          <cell r="D4453">
            <v>42001</v>
          </cell>
          <cell r="U4453">
            <v>0</v>
          </cell>
          <cell r="Z4453">
            <v>1</v>
          </cell>
        </row>
        <row r="4454">
          <cell r="D4454">
            <v>42001</v>
          </cell>
          <cell r="U4454">
            <v>0</v>
          </cell>
          <cell r="Z4454">
            <v>1</v>
          </cell>
        </row>
        <row r="4455">
          <cell r="D4455">
            <v>42001</v>
          </cell>
          <cell r="U4455">
            <v>0</v>
          </cell>
          <cell r="Z4455">
            <v>1</v>
          </cell>
        </row>
        <row r="4456">
          <cell r="D4456">
            <v>42001</v>
          </cell>
          <cell r="U4456">
            <v>0</v>
          </cell>
          <cell r="Z4456">
            <v>1</v>
          </cell>
        </row>
        <row r="4457">
          <cell r="D4457">
            <v>42001</v>
          </cell>
          <cell r="U4457">
            <v>3</v>
          </cell>
          <cell r="Z4457">
            <v>0</v>
          </cell>
        </row>
        <row r="4458">
          <cell r="D4458">
            <v>42001</v>
          </cell>
          <cell r="U4458">
            <v>0</v>
          </cell>
          <cell r="Z4458">
            <v>1</v>
          </cell>
        </row>
        <row r="4459">
          <cell r="D4459">
            <v>42001</v>
          </cell>
          <cell r="U4459">
            <v>0</v>
          </cell>
          <cell r="Z4459">
            <v>1</v>
          </cell>
        </row>
        <row r="4460">
          <cell r="D4460">
            <v>42001</v>
          </cell>
          <cell r="U4460">
            <v>2</v>
          </cell>
          <cell r="Z4460">
            <v>0</v>
          </cell>
        </row>
        <row r="4461">
          <cell r="D4461">
            <v>42001</v>
          </cell>
          <cell r="U4461">
            <v>0</v>
          </cell>
          <cell r="Z4461">
            <v>1</v>
          </cell>
        </row>
        <row r="4462">
          <cell r="D4462">
            <v>42001</v>
          </cell>
          <cell r="U4462">
            <v>1</v>
          </cell>
          <cell r="Z4462">
            <v>0</v>
          </cell>
        </row>
        <row r="4463">
          <cell r="D4463">
            <v>42001</v>
          </cell>
          <cell r="U4463">
            <v>0</v>
          </cell>
          <cell r="Z4463">
            <v>1</v>
          </cell>
        </row>
        <row r="4464">
          <cell r="D4464">
            <v>42001</v>
          </cell>
          <cell r="U4464">
            <v>0</v>
          </cell>
          <cell r="Z4464">
            <v>1</v>
          </cell>
        </row>
        <row r="4465">
          <cell r="D4465">
            <v>42001</v>
          </cell>
          <cell r="U4465">
            <v>0</v>
          </cell>
          <cell r="Z4465">
            <v>1</v>
          </cell>
        </row>
        <row r="4466">
          <cell r="D4466">
            <v>42001</v>
          </cell>
          <cell r="U4466">
            <v>1</v>
          </cell>
          <cell r="Z4466">
            <v>0</v>
          </cell>
        </row>
        <row r="4467">
          <cell r="D4467">
            <v>42001</v>
          </cell>
          <cell r="U4467">
            <v>0</v>
          </cell>
          <cell r="Z4467">
            <v>1</v>
          </cell>
        </row>
        <row r="4468">
          <cell r="D4468">
            <v>42001</v>
          </cell>
          <cell r="U4468">
            <v>0</v>
          </cell>
          <cell r="Z4468">
            <v>1</v>
          </cell>
        </row>
        <row r="4469">
          <cell r="D4469">
            <v>42001</v>
          </cell>
          <cell r="U4469">
            <v>0</v>
          </cell>
          <cell r="Z4469">
            <v>1</v>
          </cell>
        </row>
        <row r="4470">
          <cell r="D4470">
            <v>42001</v>
          </cell>
          <cell r="U4470">
            <v>0</v>
          </cell>
          <cell r="Z4470">
            <v>1</v>
          </cell>
        </row>
        <row r="4471">
          <cell r="D4471">
            <v>42001</v>
          </cell>
          <cell r="U4471">
            <v>0</v>
          </cell>
          <cell r="Z4471">
            <v>1</v>
          </cell>
        </row>
        <row r="4472">
          <cell r="D4472">
            <v>42001</v>
          </cell>
          <cell r="U4472">
            <v>3</v>
          </cell>
          <cell r="Z4472">
            <v>0</v>
          </cell>
        </row>
        <row r="4473">
          <cell r="D4473">
            <v>42001</v>
          </cell>
          <cell r="U4473">
            <v>3</v>
          </cell>
          <cell r="Z4473">
            <v>0</v>
          </cell>
        </row>
        <row r="4474">
          <cell r="D4474">
            <v>42001</v>
          </cell>
          <cell r="U4474">
            <v>0</v>
          </cell>
          <cell r="Z4474">
            <v>1</v>
          </cell>
        </row>
        <row r="4475">
          <cell r="D4475">
            <v>42001</v>
          </cell>
          <cell r="U4475">
            <v>1</v>
          </cell>
          <cell r="Z4475">
            <v>0</v>
          </cell>
        </row>
        <row r="4476">
          <cell r="D4476">
            <v>42001</v>
          </cell>
          <cell r="U4476">
            <v>0</v>
          </cell>
          <cell r="Z4476">
            <v>1</v>
          </cell>
        </row>
        <row r="4477">
          <cell r="D4477">
            <v>42001</v>
          </cell>
          <cell r="U4477">
            <v>0</v>
          </cell>
          <cell r="Z4477">
            <v>1</v>
          </cell>
        </row>
        <row r="4478">
          <cell r="D4478">
            <v>42001</v>
          </cell>
          <cell r="U4478">
            <v>0</v>
          </cell>
          <cell r="Z4478">
            <v>1</v>
          </cell>
        </row>
        <row r="4479">
          <cell r="D4479">
            <v>42001</v>
          </cell>
          <cell r="U4479">
            <v>3</v>
          </cell>
          <cell r="Z4479">
            <v>0</v>
          </cell>
        </row>
        <row r="4480">
          <cell r="D4480">
            <v>42001</v>
          </cell>
          <cell r="U4480">
            <v>0</v>
          </cell>
          <cell r="Z4480">
            <v>1</v>
          </cell>
        </row>
        <row r="4481">
          <cell r="D4481">
            <v>42001</v>
          </cell>
          <cell r="U4481">
            <v>0</v>
          </cell>
          <cell r="Z4481">
            <v>1</v>
          </cell>
        </row>
        <row r="4482">
          <cell r="D4482">
            <v>42001</v>
          </cell>
          <cell r="U4482">
            <v>0</v>
          </cell>
          <cell r="Z4482">
            <v>1</v>
          </cell>
        </row>
        <row r="4483">
          <cell r="D4483">
            <v>42001</v>
          </cell>
          <cell r="U4483">
            <v>0</v>
          </cell>
          <cell r="Z4483">
            <v>1</v>
          </cell>
        </row>
        <row r="4484">
          <cell r="D4484">
            <v>42001</v>
          </cell>
          <cell r="U4484">
            <v>0</v>
          </cell>
          <cell r="Z4484">
            <v>1</v>
          </cell>
        </row>
        <row r="4485">
          <cell r="D4485">
            <v>42001</v>
          </cell>
          <cell r="U4485">
            <v>0</v>
          </cell>
          <cell r="Z4485">
            <v>1</v>
          </cell>
        </row>
        <row r="4486">
          <cell r="D4486">
            <v>42001</v>
          </cell>
          <cell r="U4486">
            <v>0</v>
          </cell>
          <cell r="Z4486">
            <v>1</v>
          </cell>
        </row>
        <row r="4487">
          <cell r="D4487">
            <v>42001</v>
          </cell>
          <cell r="U4487">
            <v>0</v>
          </cell>
          <cell r="Z4487">
            <v>1</v>
          </cell>
        </row>
        <row r="4488">
          <cell r="D4488">
            <v>42001</v>
          </cell>
          <cell r="U4488">
            <v>0</v>
          </cell>
          <cell r="Z4488">
            <v>1</v>
          </cell>
        </row>
        <row r="4489">
          <cell r="D4489">
            <v>42001</v>
          </cell>
          <cell r="U4489">
            <v>2</v>
          </cell>
          <cell r="Z4489">
            <v>0</v>
          </cell>
        </row>
        <row r="4490">
          <cell r="D4490">
            <v>42001</v>
          </cell>
          <cell r="U4490">
            <v>0</v>
          </cell>
          <cell r="Z4490">
            <v>1</v>
          </cell>
        </row>
        <row r="4491">
          <cell r="D4491">
            <v>42001</v>
          </cell>
          <cell r="U4491">
            <v>1</v>
          </cell>
          <cell r="Z4491">
            <v>0</v>
          </cell>
        </row>
        <row r="4492">
          <cell r="D4492">
            <v>42001</v>
          </cell>
          <cell r="U4492">
            <v>2</v>
          </cell>
          <cell r="Z4492">
            <v>0</v>
          </cell>
        </row>
        <row r="4493">
          <cell r="D4493">
            <v>42001</v>
          </cell>
          <cell r="U4493">
            <v>0</v>
          </cell>
          <cell r="Z4493">
            <v>1</v>
          </cell>
        </row>
        <row r="4494">
          <cell r="D4494">
            <v>42001</v>
          </cell>
          <cell r="U4494">
            <v>0</v>
          </cell>
          <cell r="Z4494">
            <v>1</v>
          </cell>
        </row>
        <row r="4495">
          <cell r="D4495">
            <v>42001</v>
          </cell>
          <cell r="U4495">
            <v>0</v>
          </cell>
          <cell r="Z4495">
            <v>1</v>
          </cell>
        </row>
        <row r="4496">
          <cell r="D4496">
            <v>42001</v>
          </cell>
          <cell r="U4496">
            <v>0</v>
          </cell>
          <cell r="Z4496">
            <v>1</v>
          </cell>
        </row>
        <row r="4497">
          <cell r="D4497">
            <v>42001</v>
          </cell>
          <cell r="U4497">
            <v>0</v>
          </cell>
          <cell r="Z4497">
            <v>1</v>
          </cell>
        </row>
        <row r="4498">
          <cell r="D4498">
            <v>42001</v>
          </cell>
          <cell r="U4498">
            <v>0</v>
          </cell>
          <cell r="Z4498">
            <v>1</v>
          </cell>
        </row>
        <row r="4499">
          <cell r="D4499">
            <v>42001</v>
          </cell>
          <cell r="U4499">
            <v>2</v>
          </cell>
          <cell r="Z4499">
            <v>0</v>
          </cell>
        </row>
        <row r="4500">
          <cell r="D4500">
            <v>42001</v>
          </cell>
          <cell r="U4500">
            <v>0</v>
          </cell>
          <cell r="Z4500">
            <v>1</v>
          </cell>
        </row>
        <row r="4501">
          <cell r="D4501">
            <v>42001</v>
          </cell>
          <cell r="U4501">
            <v>0</v>
          </cell>
          <cell r="Z4501">
            <v>1</v>
          </cell>
        </row>
        <row r="4502">
          <cell r="D4502">
            <v>42001</v>
          </cell>
          <cell r="U4502">
            <v>0</v>
          </cell>
          <cell r="Z4502">
            <v>1</v>
          </cell>
        </row>
        <row r="4503">
          <cell r="D4503">
            <v>42001</v>
          </cell>
          <cell r="U4503">
            <v>0</v>
          </cell>
          <cell r="Z4503">
            <v>1</v>
          </cell>
        </row>
        <row r="4504">
          <cell r="D4504">
            <v>42001</v>
          </cell>
          <cell r="U4504">
            <v>0</v>
          </cell>
          <cell r="Z4504">
            <v>1</v>
          </cell>
        </row>
        <row r="4505">
          <cell r="D4505">
            <v>42001</v>
          </cell>
          <cell r="U4505">
            <v>0</v>
          </cell>
          <cell r="Z4505">
            <v>1</v>
          </cell>
        </row>
        <row r="4506">
          <cell r="D4506">
            <v>42001</v>
          </cell>
          <cell r="U4506">
            <v>0</v>
          </cell>
          <cell r="Z4506">
            <v>1</v>
          </cell>
        </row>
        <row r="4507">
          <cell r="D4507">
            <v>42001</v>
          </cell>
          <cell r="U4507">
            <v>2</v>
          </cell>
          <cell r="Z4507">
            <v>0</v>
          </cell>
        </row>
        <row r="4508">
          <cell r="D4508">
            <v>42001</v>
          </cell>
          <cell r="U4508">
            <v>3</v>
          </cell>
          <cell r="Z4508">
            <v>0</v>
          </cell>
        </row>
        <row r="4509">
          <cell r="D4509">
            <v>42001</v>
          </cell>
          <cell r="U4509">
            <v>3</v>
          </cell>
          <cell r="Z4509">
            <v>0</v>
          </cell>
        </row>
        <row r="4510">
          <cell r="D4510">
            <v>42001</v>
          </cell>
          <cell r="U4510">
            <v>0</v>
          </cell>
          <cell r="Z4510">
            <v>1</v>
          </cell>
        </row>
        <row r="4511">
          <cell r="D4511">
            <v>42001</v>
          </cell>
          <cell r="U4511">
            <v>0</v>
          </cell>
          <cell r="Z4511">
            <v>1</v>
          </cell>
        </row>
        <row r="4512">
          <cell r="D4512">
            <v>42001</v>
          </cell>
          <cell r="U4512">
            <v>1</v>
          </cell>
          <cell r="Z4512">
            <v>0</v>
          </cell>
        </row>
        <row r="4513">
          <cell r="D4513">
            <v>42001</v>
          </cell>
          <cell r="U4513">
            <v>0</v>
          </cell>
          <cell r="Z4513">
            <v>1</v>
          </cell>
        </row>
        <row r="4514">
          <cell r="D4514">
            <v>42001</v>
          </cell>
          <cell r="U4514">
            <v>0</v>
          </cell>
          <cell r="Z4514">
            <v>1</v>
          </cell>
        </row>
        <row r="4515">
          <cell r="D4515">
            <v>42001</v>
          </cell>
          <cell r="U4515">
            <v>0</v>
          </cell>
          <cell r="Z4515">
            <v>1</v>
          </cell>
        </row>
        <row r="4516">
          <cell r="D4516">
            <v>42001</v>
          </cell>
          <cell r="U4516">
            <v>0</v>
          </cell>
          <cell r="Z4516">
            <v>1</v>
          </cell>
        </row>
        <row r="4517">
          <cell r="D4517">
            <v>42001</v>
          </cell>
          <cell r="U4517">
            <v>0</v>
          </cell>
          <cell r="Z4517">
            <v>1</v>
          </cell>
        </row>
        <row r="4518">
          <cell r="D4518">
            <v>42001</v>
          </cell>
          <cell r="U4518">
            <v>0</v>
          </cell>
          <cell r="Z4518">
            <v>1</v>
          </cell>
        </row>
        <row r="4519">
          <cell r="D4519">
            <v>42001</v>
          </cell>
          <cell r="U4519">
            <v>0</v>
          </cell>
          <cell r="Z4519">
            <v>1</v>
          </cell>
        </row>
        <row r="4520">
          <cell r="D4520">
            <v>42001</v>
          </cell>
          <cell r="U4520">
            <v>0</v>
          </cell>
          <cell r="Z4520">
            <v>1</v>
          </cell>
        </row>
        <row r="4521">
          <cell r="D4521">
            <v>42001</v>
          </cell>
          <cell r="U4521">
            <v>0</v>
          </cell>
          <cell r="Z4521">
            <v>1</v>
          </cell>
        </row>
        <row r="4522">
          <cell r="D4522">
            <v>42001</v>
          </cell>
          <cell r="U4522">
            <v>0</v>
          </cell>
          <cell r="Z4522">
            <v>1</v>
          </cell>
        </row>
        <row r="4523">
          <cell r="D4523">
            <v>42001</v>
          </cell>
          <cell r="U4523">
            <v>0</v>
          </cell>
          <cell r="Z4523">
            <v>1</v>
          </cell>
        </row>
        <row r="4524">
          <cell r="D4524">
            <v>42001</v>
          </cell>
          <cell r="U4524">
            <v>1</v>
          </cell>
          <cell r="Z4524">
            <v>0</v>
          </cell>
        </row>
        <row r="4525">
          <cell r="D4525">
            <v>42001</v>
          </cell>
          <cell r="U4525">
            <v>2</v>
          </cell>
          <cell r="Z4525">
            <v>0</v>
          </cell>
        </row>
        <row r="4526">
          <cell r="D4526">
            <v>42001</v>
          </cell>
          <cell r="U4526">
            <v>2</v>
          </cell>
          <cell r="Z4526">
            <v>0</v>
          </cell>
        </row>
        <row r="4527">
          <cell r="D4527">
            <v>42001</v>
          </cell>
          <cell r="U4527">
            <v>2</v>
          </cell>
          <cell r="Z4527">
            <v>0</v>
          </cell>
        </row>
        <row r="4528">
          <cell r="D4528">
            <v>42001</v>
          </cell>
          <cell r="U4528">
            <v>3</v>
          </cell>
          <cell r="Z4528">
            <v>0</v>
          </cell>
        </row>
        <row r="4529">
          <cell r="D4529">
            <v>42001</v>
          </cell>
          <cell r="U4529">
            <v>0</v>
          </cell>
          <cell r="Z4529">
            <v>1</v>
          </cell>
        </row>
        <row r="4530">
          <cell r="D4530">
            <v>42001</v>
          </cell>
          <cell r="U4530">
            <v>0</v>
          </cell>
          <cell r="Z4530">
            <v>1</v>
          </cell>
        </row>
        <row r="4531">
          <cell r="D4531">
            <v>42001</v>
          </cell>
          <cell r="U4531">
            <v>0</v>
          </cell>
          <cell r="Z4531">
            <v>1</v>
          </cell>
        </row>
        <row r="4532">
          <cell r="D4532">
            <v>42001</v>
          </cell>
          <cell r="U4532">
            <v>0</v>
          </cell>
          <cell r="Z4532">
            <v>1</v>
          </cell>
        </row>
        <row r="4533">
          <cell r="D4533">
            <v>42002</v>
          </cell>
          <cell r="U4533">
            <v>0</v>
          </cell>
          <cell r="Z4533">
            <v>1</v>
          </cell>
        </row>
        <row r="4534">
          <cell r="D4534">
            <v>42002</v>
          </cell>
          <cell r="U4534">
            <v>0</v>
          </cell>
          <cell r="Z4534">
            <v>1</v>
          </cell>
        </row>
        <row r="4535">
          <cell r="D4535">
            <v>42002</v>
          </cell>
          <cell r="U4535">
            <v>3</v>
          </cell>
          <cell r="Z4535">
            <v>0</v>
          </cell>
        </row>
        <row r="4536">
          <cell r="D4536">
            <v>42002</v>
          </cell>
          <cell r="U4536">
            <v>0</v>
          </cell>
          <cell r="Z4536">
            <v>1</v>
          </cell>
        </row>
        <row r="4537">
          <cell r="D4537">
            <v>42002</v>
          </cell>
          <cell r="U4537">
            <v>0</v>
          </cell>
          <cell r="Z4537">
            <v>1</v>
          </cell>
        </row>
        <row r="4538">
          <cell r="D4538">
            <v>42002</v>
          </cell>
          <cell r="U4538">
            <v>2</v>
          </cell>
          <cell r="Z4538">
            <v>0</v>
          </cell>
        </row>
        <row r="4539">
          <cell r="D4539">
            <v>42002</v>
          </cell>
          <cell r="U4539">
            <v>0</v>
          </cell>
          <cell r="Z4539">
            <v>1</v>
          </cell>
        </row>
        <row r="4540">
          <cell r="D4540">
            <v>42002</v>
          </cell>
          <cell r="U4540">
            <v>0</v>
          </cell>
          <cell r="Z4540">
            <v>1</v>
          </cell>
        </row>
        <row r="4541">
          <cell r="D4541">
            <v>42002</v>
          </cell>
          <cell r="U4541">
            <v>1</v>
          </cell>
          <cell r="Z4541">
            <v>0</v>
          </cell>
        </row>
        <row r="4542">
          <cell r="D4542">
            <v>42002</v>
          </cell>
          <cell r="U4542">
            <v>3</v>
          </cell>
          <cell r="Z4542">
            <v>0</v>
          </cell>
        </row>
        <row r="4543">
          <cell r="D4543">
            <v>42002</v>
          </cell>
          <cell r="U4543">
            <v>0</v>
          </cell>
          <cell r="Z4543">
            <v>1</v>
          </cell>
        </row>
        <row r="4544">
          <cell r="D4544">
            <v>42002</v>
          </cell>
          <cell r="U4544">
            <v>3</v>
          </cell>
          <cell r="Z4544">
            <v>0</v>
          </cell>
        </row>
        <row r="4545">
          <cell r="D4545">
            <v>42002</v>
          </cell>
          <cell r="U4545">
            <v>0</v>
          </cell>
          <cell r="Z4545">
            <v>1</v>
          </cell>
        </row>
        <row r="4546">
          <cell r="D4546">
            <v>42002</v>
          </cell>
          <cell r="U4546">
            <v>2</v>
          </cell>
          <cell r="Z4546">
            <v>0</v>
          </cell>
        </row>
        <row r="4547">
          <cell r="D4547">
            <v>42002</v>
          </cell>
          <cell r="U4547">
            <v>0</v>
          </cell>
          <cell r="Z4547">
            <v>1</v>
          </cell>
        </row>
        <row r="4548">
          <cell r="D4548">
            <v>42002</v>
          </cell>
          <cell r="U4548">
            <v>2</v>
          </cell>
          <cell r="Z4548">
            <v>0</v>
          </cell>
        </row>
        <row r="4549">
          <cell r="D4549">
            <v>42002</v>
          </cell>
          <cell r="U4549">
            <v>3</v>
          </cell>
          <cell r="Z4549">
            <v>0</v>
          </cell>
        </row>
        <row r="4550">
          <cell r="D4550">
            <v>42002</v>
          </cell>
          <cell r="U4550">
            <v>3</v>
          </cell>
          <cell r="Z4550">
            <v>0</v>
          </cell>
        </row>
        <row r="4551">
          <cell r="D4551">
            <v>42002</v>
          </cell>
          <cell r="U4551">
            <v>0</v>
          </cell>
          <cell r="Z4551">
            <v>1</v>
          </cell>
        </row>
        <row r="4552">
          <cell r="D4552">
            <v>42002</v>
          </cell>
          <cell r="U4552">
            <v>0</v>
          </cell>
          <cell r="Z4552">
            <v>1</v>
          </cell>
        </row>
        <row r="4553">
          <cell r="D4553">
            <v>42002</v>
          </cell>
          <cell r="U4553">
            <v>0</v>
          </cell>
          <cell r="Z4553">
            <v>1</v>
          </cell>
        </row>
        <row r="4554">
          <cell r="D4554">
            <v>42002</v>
          </cell>
          <cell r="U4554">
            <v>0</v>
          </cell>
          <cell r="Z4554">
            <v>1</v>
          </cell>
        </row>
        <row r="4555">
          <cell r="D4555">
            <v>42002</v>
          </cell>
          <cell r="U4555">
            <v>0</v>
          </cell>
          <cell r="Z4555">
            <v>1</v>
          </cell>
        </row>
        <row r="4556">
          <cell r="D4556">
            <v>42002</v>
          </cell>
          <cell r="U4556">
            <v>0</v>
          </cell>
          <cell r="Z4556">
            <v>1</v>
          </cell>
        </row>
        <row r="4557">
          <cell r="D4557">
            <v>42002</v>
          </cell>
          <cell r="U4557">
            <v>3</v>
          </cell>
          <cell r="Z4557">
            <v>0</v>
          </cell>
        </row>
        <row r="4558">
          <cell r="D4558">
            <v>42002</v>
          </cell>
          <cell r="U4558">
            <v>0</v>
          </cell>
          <cell r="Z4558">
            <v>1</v>
          </cell>
        </row>
        <row r="4559">
          <cell r="D4559">
            <v>42002</v>
          </cell>
          <cell r="U4559">
            <v>1</v>
          </cell>
          <cell r="Z4559">
            <v>0</v>
          </cell>
        </row>
        <row r="4560">
          <cell r="D4560">
            <v>42002</v>
          </cell>
          <cell r="U4560">
            <v>2</v>
          </cell>
          <cell r="Z4560">
            <v>0</v>
          </cell>
        </row>
        <row r="4561">
          <cell r="D4561">
            <v>42002</v>
          </cell>
          <cell r="U4561">
            <v>0</v>
          </cell>
          <cell r="Z4561">
            <v>1</v>
          </cell>
        </row>
        <row r="4562">
          <cell r="D4562">
            <v>42002</v>
          </cell>
          <cell r="U4562">
            <v>0</v>
          </cell>
          <cell r="Z4562">
            <v>1</v>
          </cell>
        </row>
        <row r="4563">
          <cell r="D4563">
            <v>42002</v>
          </cell>
          <cell r="U4563">
            <v>0</v>
          </cell>
          <cell r="Z4563">
            <v>1</v>
          </cell>
        </row>
        <row r="4564">
          <cell r="D4564">
            <v>42002</v>
          </cell>
          <cell r="U4564">
            <v>0</v>
          </cell>
          <cell r="Z4564">
            <v>1</v>
          </cell>
        </row>
        <row r="4565">
          <cell r="D4565">
            <v>42002</v>
          </cell>
          <cell r="U4565">
            <v>2</v>
          </cell>
          <cell r="Z4565">
            <v>0</v>
          </cell>
        </row>
        <row r="4566">
          <cell r="D4566">
            <v>42002</v>
          </cell>
          <cell r="U4566">
            <v>3</v>
          </cell>
          <cell r="Z4566">
            <v>0</v>
          </cell>
        </row>
        <row r="4567">
          <cell r="D4567">
            <v>42002</v>
          </cell>
          <cell r="U4567">
            <v>0</v>
          </cell>
          <cell r="Z4567">
            <v>1</v>
          </cell>
        </row>
        <row r="4568">
          <cell r="D4568">
            <v>42002</v>
          </cell>
          <cell r="U4568">
            <v>3</v>
          </cell>
          <cell r="Z4568">
            <v>0</v>
          </cell>
        </row>
        <row r="4569">
          <cell r="D4569">
            <v>42002</v>
          </cell>
          <cell r="U4569">
            <v>0</v>
          </cell>
          <cell r="Z4569">
            <v>1</v>
          </cell>
        </row>
        <row r="4570">
          <cell r="D4570">
            <v>42002</v>
          </cell>
          <cell r="U4570">
            <v>0</v>
          </cell>
          <cell r="Z4570">
            <v>1</v>
          </cell>
        </row>
        <row r="4571">
          <cell r="D4571">
            <v>42002</v>
          </cell>
          <cell r="U4571">
            <v>0</v>
          </cell>
          <cell r="Z4571">
            <v>1</v>
          </cell>
        </row>
        <row r="4572">
          <cell r="D4572">
            <v>42002</v>
          </cell>
          <cell r="U4572">
            <v>3</v>
          </cell>
          <cell r="Z4572">
            <v>0</v>
          </cell>
        </row>
        <row r="4573">
          <cell r="D4573">
            <v>42002</v>
          </cell>
          <cell r="U4573">
            <v>3</v>
          </cell>
          <cell r="Z4573">
            <v>0</v>
          </cell>
        </row>
        <row r="4574">
          <cell r="D4574">
            <v>42002</v>
          </cell>
          <cell r="U4574">
            <v>0</v>
          </cell>
          <cell r="Z4574">
            <v>1</v>
          </cell>
        </row>
        <row r="4575">
          <cell r="D4575">
            <v>42002</v>
          </cell>
          <cell r="U4575">
            <v>3</v>
          </cell>
          <cell r="Z4575">
            <v>0</v>
          </cell>
        </row>
        <row r="4576">
          <cell r="D4576">
            <v>42002</v>
          </cell>
          <cell r="U4576">
            <v>0</v>
          </cell>
          <cell r="Z4576">
            <v>2</v>
          </cell>
        </row>
        <row r="4577">
          <cell r="D4577">
            <v>42002</v>
          </cell>
          <cell r="U4577">
            <v>1</v>
          </cell>
          <cell r="Z4577">
            <v>0</v>
          </cell>
        </row>
        <row r="4578">
          <cell r="D4578">
            <v>42002</v>
          </cell>
          <cell r="U4578">
            <v>3</v>
          </cell>
          <cell r="Z4578">
            <v>0</v>
          </cell>
        </row>
        <row r="4579">
          <cell r="D4579">
            <v>42002</v>
          </cell>
          <cell r="U4579">
            <v>1</v>
          </cell>
          <cell r="Z4579">
            <v>0</v>
          </cell>
        </row>
        <row r="4580">
          <cell r="D4580">
            <v>42002</v>
          </cell>
          <cell r="U4580">
            <v>2</v>
          </cell>
          <cell r="Z4580">
            <v>0</v>
          </cell>
        </row>
        <row r="4581">
          <cell r="D4581">
            <v>42002</v>
          </cell>
          <cell r="U4581">
            <v>3</v>
          </cell>
          <cell r="Z4581">
            <v>0</v>
          </cell>
        </row>
        <row r="4582">
          <cell r="D4582">
            <v>42002</v>
          </cell>
          <cell r="U4582">
            <v>0</v>
          </cell>
          <cell r="Z4582">
            <v>1</v>
          </cell>
        </row>
        <row r="4583">
          <cell r="D4583">
            <v>42002</v>
          </cell>
          <cell r="U4583">
            <v>3</v>
          </cell>
          <cell r="Z4583">
            <v>0</v>
          </cell>
        </row>
        <row r="4584">
          <cell r="D4584">
            <v>42002</v>
          </cell>
          <cell r="U4584">
            <v>0</v>
          </cell>
          <cell r="Z4584">
            <v>1</v>
          </cell>
        </row>
        <row r="4585">
          <cell r="D4585">
            <v>42002</v>
          </cell>
          <cell r="U4585">
            <v>3</v>
          </cell>
          <cell r="Z4585">
            <v>0</v>
          </cell>
        </row>
        <row r="4586">
          <cell r="D4586">
            <v>42002</v>
          </cell>
          <cell r="U4586">
            <v>3</v>
          </cell>
          <cell r="Z4586">
            <v>0</v>
          </cell>
        </row>
        <row r="4587">
          <cell r="D4587">
            <v>42002</v>
          </cell>
          <cell r="U4587">
            <v>1</v>
          </cell>
          <cell r="Z4587">
            <v>0</v>
          </cell>
        </row>
        <row r="4588">
          <cell r="D4588">
            <v>42002</v>
          </cell>
          <cell r="U4588">
            <v>0</v>
          </cell>
          <cell r="Z4588">
            <v>1</v>
          </cell>
        </row>
        <row r="4589">
          <cell r="D4589">
            <v>42002</v>
          </cell>
          <cell r="U4589">
            <v>0</v>
          </cell>
          <cell r="Z4589">
            <v>1</v>
          </cell>
        </row>
        <row r="4590">
          <cell r="D4590">
            <v>42002</v>
          </cell>
          <cell r="U4590">
            <v>0</v>
          </cell>
          <cell r="Z4590">
            <v>1</v>
          </cell>
        </row>
        <row r="4591">
          <cell r="D4591">
            <v>42002</v>
          </cell>
          <cell r="U4591">
            <v>1</v>
          </cell>
          <cell r="Z4591">
            <v>0</v>
          </cell>
        </row>
        <row r="4592">
          <cell r="D4592">
            <v>42002</v>
          </cell>
          <cell r="U4592">
            <v>0</v>
          </cell>
          <cell r="Z4592">
            <v>1</v>
          </cell>
        </row>
        <row r="4593">
          <cell r="D4593">
            <v>42002</v>
          </cell>
          <cell r="U4593">
            <v>0</v>
          </cell>
          <cell r="Z4593">
            <v>1</v>
          </cell>
        </row>
        <row r="4594">
          <cell r="D4594">
            <v>42002</v>
          </cell>
          <cell r="U4594">
            <v>0</v>
          </cell>
          <cell r="Z4594">
            <v>1</v>
          </cell>
        </row>
        <row r="4595">
          <cell r="D4595">
            <v>42002</v>
          </cell>
          <cell r="U4595">
            <v>0</v>
          </cell>
          <cell r="Z4595">
            <v>1</v>
          </cell>
        </row>
        <row r="4596">
          <cell r="D4596">
            <v>42002</v>
          </cell>
          <cell r="U4596">
            <v>2</v>
          </cell>
          <cell r="Z4596">
            <v>0</v>
          </cell>
        </row>
        <row r="4597">
          <cell r="D4597">
            <v>42002</v>
          </cell>
          <cell r="U4597">
            <v>1</v>
          </cell>
          <cell r="Z4597">
            <v>0</v>
          </cell>
        </row>
        <row r="4598">
          <cell r="D4598">
            <v>42002</v>
          </cell>
          <cell r="U4598">
            <v>1</v>
          </cell>
          <cell r="Z4598">
            <v>0</v>
          </cell>
        </row>
        <row r="4599">
          <cell r="D4599">
            <v>42002</v>
          </cell>
          <cell r="U4599">
            <v>1</v>
          </cell>
          <cell r="Z4599">
            <v>0</v>
          </cell>
        </row>
        <row r="4600">
          <cell r="D4600">
            <v>42002</v>
          </cell>
          <cell r="U4600">
            <v>2</v>
          </cell>
          <cell r="Z4600">
            <v>0</v>
          </cell>
        </row>
        <row r="4601">
          <cell r="D4601">
            <v>42002</v>
          </cell>
          <cell r="U4601">
            <v>0</v>
          </cell>
          <cell r="Z4601">
            <v>1</v>
          </cell>
        </row>
        <row r="4602">
          <cell r="D4602">
            <v>42002</v>
          </cell>
          <cell r="U4602">
            <v>0</v>
          </cell>
          <cell r="Z4602">
            <v>1</v>
          </cell>
        </row>
        <row r="4603">
          <cell r="D4603">
            <v>42002</v>
          </cell>
          <cell r="U4603">
            <v>0</v>
          </cell>
          <cell r="Z4603">
            <v>1</v>
          </cell>
        </row>
        <row r="4604">
          <cell r="D4604">
            <v>42002</v>
          </cell>
          <cell r="U4604">
            <v>0</v>
          </cell>
          <cell r="Z4604">
            <v>1</v>
          </cell>
        </row>
        <row r="4605">
          <cell r="D4605">
            <v>42002</v>
          </cell>
          <cell r="U4605">
            <v>0</v>
          </cell>
          <cell r="Z4605">
            <v>1</v>
          </cell>
        </row>
        <row r="4606">
          <cell r="D4606">
            <v>42002</v>
          </cell>
          <cell r="U4606">
            <v>3</v>
          </cell>
          <cell r="Z4606">
            <v>0</v>
          </cell>
        </row>
        <row r="4607">
          <cell r="D4607">
            <v>42002</v>
          </cell>
          <cell r="U4607">
            <v>2</v>
          </cell>
          <cell r="Z4607">
            <v>0</v>
          </cell>
        </row>
        <row r="4608">
          <cell r="D4608">
            <v>42002</v>
          </cell>
          <cell r="U4608">
            <v>0</v>
          </cell>
          <cell r="Z4608">
            <v>1</v>
          </cell>
        </row>
        <row r="4609">
          <cell r="D4609">
            <v>42002</v>
          </cell>
          <cell r="U4609">
            <v>3</v>
          </cell>
          <cell r="Z4609">
            <v>0</v>
          </cell>
        </row>
        <row r="4610">
          <cell r="D4610">
            <v>42002</v>
          </cell>
          <cell r="U4610">
            <v>0</v>
          </cell>
          <cell r="Z4610">
            <v>1</v>
          </cell>
        </row>
        <row r="4611">
          <cell r="D4611">
            <v>42002</v>
          </cell>
          <cell r="U4611">
            <v>0</v>
          </cell>
          <cell r="Z4611">
            <v>1</v>
          </cell>
        </row>
        <row r="4612">
          <cell r="D4612">
            <v>42002</v>
          </cell>
          <cell r="U4612">
            <v>0</v>
          </cell>
          <cell r="Z4612">
            <v>1</v>
          </cell>
        </row>
        <row r="4613">
          <cell r="D4613">
            <v>42002</v>
          </cell>
          <cell r="U4613">
            <v>2</v>
          </cell>
          <cell r="Z4613">
            <v>0</v>
          </cell>
        </row>
        <row r="4614">
          <cell r="D4614">
            <v>42002</v>
          </cell>
          <cell r="U4614">
            <v>0</v>
          </cell>
          <cell r="Z4614">
            <v>1</v>
          </cell>
        </row>
        <row r="4615">
          <cell r="D4615">
            <v>42002</v>
          </cell>
          <cell r="U4615">
            <v>3</v>
          </cell>
          <cell r="Z4615">
            <v>0</v>
          </cell>
        </row>
        <row r="4616">
          <cell r="D4616">
            <v>42002</v>
          </cell>
          <cell r="U4616">
            <v>2</v>
          </cell>
          <cell r="Z4616">
            <v>0</v>
          </cell>
        </row>
        <row r="4617">
          <cell r="D4617">
            <v>42002</v>
          </cell>
          <cell r="U4617">
            <v>0</v>
          </cell>
          <cell r="Z4617">
            <v>1</v>
          </cell>
        </row>
        <row r="4618">
          <cell r="D4618">
            <v>42002</v>
          </cell>
          <cell r="U4618">
            <v>0</v>
          </cell>
          <cell r="Z4618">
            <v>1</v>
          </cell>
        </row>
        <row r="4619">
          <cell r="D4619">
            <v>42002</v>
          </cell>
          <cell r="U4619">
            <v>0</v>
          </cell>
          <cell r="Z4619">
            <v>1</v>
          </cell>
        </row>
        <row r="4620">
          <cell r="D4620">
            <v>42002</v>
          </cell>
          <cell r="U4620">
            <v>0</v>
          </cell>
          <cell r="Z4620">
            <v>1</v>
          </cell>
        </row>
        <row r="4621">
          <cell r="D4621">
            <v>42002</v>
          </cell>
          <cell r="U4621">
            <v>3</v>
          </cell>
          <cell r="Z4621">
            <v>0</v>
          </cell>
        </row>
        <row r="4622">
          <cell r="D4622">
            <v>42002</v>
          </cell>
          <cell r="U4622">
            <v>3</v>
          </cell>
          <cell r="Z4622">
            <v>0</v>
          </cell>
        </row>
        <row r="4623">
          <cell r="D4623">
            <v>42002</v>
          </cell>
          <cell r="U4623">
            <v>2</v>
          </cell>
          <cell r="Z4623">
            <v>0</v>
          </cell>
        </row>
        <row r="4624">
          <cell r="D4624">
            <v>42002</v>
          </cell>
          <cell r="U4624">
            <v>3</v>
          </cell>
          <cell r="Z4624">
            <v>0</v>
          </cell>
        </row>
        <row r="4625">
          <cell r="D4625">
            <v>42002</v>
          </cell>
          <cell r="U4625">
            <v>3</v>
          </cell>
          <cell r="Z4625">
            <v>0</v>
          </cell>
        </row>
        <row r="4626">
          <cell r="D4626">
            <v>42002</v>
          </cell>
          <cell r="U4626">
            <v>2</v>
          </cell>
          <cell r="Z4626">
            <v>0</v>
          </cell>
        </row>
        <row r="4627">
          <cell r="D4627">
            <v>42002</v>
          </cell>
          <cell r="U4627">
            <v>3</v>
          </cell>
          <cell r="Z4627">
            <v>0</v>
          </cell>
        </row>
        <row r="4628">
          <cell r="D4628">
            <v>42002</v>
          </cell>
          <cell r="U4628">
            <v>2</v>
          </cell>
          <cell r="Z4628">
            <v>0</v>
          </cell>
        </row>
        <row r="4629">
          <cell r="D4629">
            <v>42002</v>
          </cell>
          <cell r="U4629">
            <v>3</v>
          </cell>
          <cell r="Z4629">
            <v>0</v>
          </cell>
        </row>
        <row r="4630">
          <cell r="D4630">
            <v>42002</v>
          </cell>
          <cell r="U4630">
            <v>2</v>
          </cell>
          <cell r="Z4630">
            <v>0</v>
          </cell>
        </row>
        <row r="4631">
          <cell r="D4631">
            <v>42002</v>
          </cell>
          <cell r="U4631">
            <v>0</v>
          </cell>
          <cell r="Z4631">
            <v>1</v>
          </cell>
        </row>
        <row r="4632">
          <cell r="D4632">
            <v>42002</v>
          </cell>
          <cell r="U4632">
            <v>2</v>
          </cell>
          <cell r="Z4632">
            <v>0</v>
          </cell>
        </row>
        <row r="4633">
          <cell r="D4633">
            <v>42002</v>
          </cell>
          <cell r="U4633">
            <v>0</v>
          </cell>
          <cell r="Z4633">
            <v>1</v>
          </cell>
        </row>
        <row r="4634">
          <cell r="D4634">
            <v>42002</v>
          </cell>
          <cell r="U4634">
            <v>3</v>
          </cell>
          <cell r="Z4634">
            <v>0</v>
          </cell>
        </row>
        <row r="4635">
          <cell r="D4635">
            <v>42002</v>
          </cell>
          <cell r="U4635">
            <v>0</v>
          </cell>
          <cell r="Z4635">
            <v>1</v>
          </cell>
        </row>
        <row r="4636">
          <cell r="D4636">
            <v>42002</v>
          </cell>
          <cell r="U4636">
            <v>3</v>
          </cell>
          <cell r="Z4636">
            <v>0</v>
          </cell>
        </row>
        <row r="4637">
          <cell r="D4637">
            <v>42002</v>
          </cell>
          <cell r="U4637">
            <v>0</v>
          </cell>
          <cell r="Z4637">
            <v>1</v>
          </cell>
        </row>
        <row r="4638">
          <cell r="D4638">
            <v>42002</v>
          </cell>
          <cell r="U4638">
            <v>2</v>
          </cell>
          <cell r="Z4638">
            <v>0</v>
          </cell>
        </row>
        <row r="4639">
          <cell r="D4639">
            <v>42002</v>
          </cell>
          <cell r="U4639">
            <v>3</v>
          </cell>
          <cell r="Z4639">
            <v>0</v>
          </cell>
        </row>
        <row r="4640">
          <cell r="D4640">
            <v>42002</v>
          </cell>
          <cell r="U4640">
            <v>0</v>
          </cell>
          <cell r="Z4640">
            <v>1</v>
          </cell>
        </row>
        <row r="4641">
          <cell r="D4641">
            <v>42002</v>
          </cell>
          <cell r="U4641">
            <v>0</v>
          </cell>
          <cell r="Z4641">
            <v>1</v>
          </cell>
        </row>
        <row r="4642">
          <cell r="D4642">
            <v>42002</v>
          </cell>
          <cell r="U4642">
            <v>0</v>
          </cell>
          <cell r="Z4642">
            <v>1</v>
          </cell>
        </row>
        <row r="4643">
          <cell r="D4643">
            <v>42002</v>
          </cell>
          <cell r="U4643">
            <v>0</v>
          </cell>
          <cell r="Z4643">
            <v>1</v>
          </cell>
        </row>
        <row r="4644">
          <cell r="D4644">
            <v>42002</v>
          </cell>
          <cell r="U4644">
            <v>0</v>
          </cell>
          <cell r="Z4644">
            <v>1</v>
          </cell>
        </row>
        <row r="4645">
          <cell r="D4645">
            <v>42002</v>
          </cell>
          <cell r="U4645">
            <v>1</v>
          </cell>
          <cell r="Z4645">
            <v>0</v>
          </cell>
        </row>
        <row r="4646">
          <cell r="D4646">
            <v>42002</v>
          </cell>
          <cell r="U4646">
            <v>0</v>
          </cell>
          <cell r="Z4646">
            <v>1</v>
          </cell>
        </row>
        <row r="4647">
          <cell r="D4647">
            <v>42002</v>
          </cell>
          <cell r="U4647">
            <v>0</v>
          </cell>
          <cell r="Z4647">
            <v>1</v>
          </cell>
        </row>
        <row r="4648">
          <cell r="D4648">
            <v>42002</v>
          </cell>
          <cell r="U4648">
            <v>0</v>
          </cell>
          <cell r="Z4648">
            <v>1</v>
          </cell>
        </row>
        <row r="4649">
          <cell r="D4649">
            <v>42002</v>
          </cell>
          <cell r="U4649">
            <v>2</v>
          </cell>
          <cell r="Z4649">
            <v>0</v>
          </cell>
        </row>
        <row r="4650">
          <cell r="D4650">
            <v>42002</v>
          </cell>
          <cell r="U4650">
            <v>0</v>
          </cell>
          <cell r="Z4650">
            <v>1</v>
          </cell>
        </row>
        <row r="4651">
          <cell r="D4651">
            <v>42002</v>
          </cell>
          <cell r="U4651">
            <v>3</v>
          </cell>
          <cell r="Z4651">
            <v>0</v>
          </cell>
        </row>
        <row r="4652">
          <cell r="D4652">
            <v>42002</v>
          </cell>
          <cell r="U4652">
            <v>0</v>
          </cell>
          <cell r="Z4652">
            <v>1</v>
          </cell>
        </row>
        <row r="4653">
          <cell r="D4653">
            <v>42002</v>
          </cell>
          <cell r="U4653">
            <v>0</v>
          </cell>
          <cell r="Z4653">
            <v>1</v>
          </cell>
        </row>
        <row r="4654">
          <cell r="D4654">
            <v>42002</v>
          </cell>
          <cell r="U4654">
            <v>0</v>
          </cell>
          <cell r="Z4654">
            <v>1</v>
          </cell>
        </row>
        <row r="4655">
          <cell r="D4655">
            <v>42003</v>
          </cell>
          <cell r="U4655">
            <v>2</v>
          </cell>
          <cell r="Z4655">
            <v>0</v>
          </cell>
        </row>
        <row r="4656">
          <cell r="D4656">
            <v>42003</v>
          </cell>
          <cell r="U4656">
            <v>0</v>
          </cell>
          <cell r="Z4656">
            <v>1</v>
          </cell>
        </row>
        <row r="4657">
          <cell r="D4657">
            <v>42003</v>
          </cell>
          <cell r="U4657">
            <v>0</v>
          </cell>
          <cell r="Z4657">
            <v>1</v>
          </cell>
        </row>
        <row r="4658">
          <cell r="D4658">
            <v>42003</v>
          </cell>
          <cell r="U4658">
            <v>0</v>
          </cell>
          <cell r="Z4658">
            <v>1</v>
          </cell>
        </row>
        <row r="4659">
          <cell r="D4659">
            <v>42003</v>
          </cell>
          <cell r="U4659">
            <v>0</v>
          </cell>
          <cell r="Z4659">
            <v>1</v>
          </cell>
        </row>
        <row r="4660">
          <cell r="D4660">
            <v>42003</v>
          </cell>
          <cell r="U4660">
            <v>0</v>
          </cell>
          <cell r="Z4660">
            <v>1</v>
          </cell>
        </row>
        <row r="4661">
          <cell r="D4661">
            <v>42003</v>
          </cell>
          <cell r="U4661">
            <v>0</v>
          </cell>
          <cell r="Z4661">
            <v>1</v>
          </cell>
        </row>
        <row r="4662">
          <cell r="D4662">
            <v>42003</v>
          </cell>
          <cell r="U4662">
            <v>3</v>
          </cell>
          <cell r="Z4662">
            <v>0</v>
          </cell>
        </row>
        <row r="4663">
          <cell r="D4663">
            <v>42003</v>
          </cell>
          <cell r="U4663">
            <v>0</v>
          </cell>
          <cell r="Z4663">
            <v>1</v>
          </cell>
        </row>
        <row r="4664">
          <cell r="D4664">
            <v>42003</v>
          </cell>
          <cell r="U4664">
            <v>0</v>
          </cell>
          <cell r="Z4664">
            <v>1</v>
          </cell>
        </row>
        <row r="4665">
          <cell r="D4665">
            <v>42003</v>
          </cell>
          <cell r="U4665">
            <v>0</v>
          </cell>
          <cell r="Z4665">
            <v>1</v>
          </cell>
        </row>
        <row r="4666">
          <cell r="D4666">
            <v>42003</v>
          </cell>
          <cell r="U4666">
            <v>0</v>
          </cell>
          <cell r="Z4666">
            <v>1</v>
          </cell>
        </row>
        <row r="4667">
          <cell r="D4667">
            <v>42003</v>
          </cell>
          <cell r="U4667">
            <v>3</v>
          </cell>
          <cell r="Z4667">
            <v>0</v>
          </cell>
        </row>
        <row r="4668">
          <cell r="D4668">
            <v>42003</v>
          </cell>
          <cell r="U4668">
            <v>0</v>
          </cell>
          <cell r="Z4668">
            <v>1</v>
          </cell>
        </row>
        <row r="4669">
          <cell r="D4669">
            <v>42003</v>
          </cell>
          <cell r="U4669">
            <v>0</v>
          </cell>
          <cell r="Z4669">
            <v>1</v>
          </cell>
        </row>
        <row r="4670">
          <cell r="D4670">
            <v>42003</v>
          </cell>
          <cell r="U4670">
            <v>0</v>
          </cell>
          <cell r="Z4670">
            <v>1</v>
          </cell>
        </row>
        <row r="4671">
          <cell r="D4671">
            <v>42003</v>
          </cell>
          <cell r="U4671">
            <v>0</v>
          </cell>
          <cell r="Z4671">
            <v>1</v>
          </cell>
        </row>
        <row r="4672">
          <cell r="D4672">
            <v>42003</v>
          </cell>
          <cell r="U4672">
            <v>0</v>
          </cell>
          <cell r="Z4672">
            <v>1</v>
          </cell>
        </row>
        <row r="4673">
          <cell r="D4673">
            <v>42003</v>
          </cell>
          <cell r="U4673">
            <v>0</v>
          </cell>
          <cell r="Z4673">
            <v>1</v>
          </cell>
        </row>
        <row r="4674">
          <cell r="D4674">
            <v>42003</v>
          </cell>
          <cell r="U4674">
            <v>0</v>
          </cell>
          <cell r="Z4674">
            <v>1</v>
          </cell>
        </row>
        <row r="4675">
          <cell r="D4675">
            <v>42003</v>
          </cell>
          <cell r="U4675">
            <v>0</v>
          </cell>
          <cell r="Z4675">
            <v>1</v>
          </cell>
        </row>
        <row r="4676">
          <cell r="D4676">
            <v>42003</v>
          </cell>
          <cell r="U4676">
            <v>1</v>
          </cell>
          <cell r="Z4676">
            <v>0</v>
          </cell>
        </row>
        <row r="4677">
          <cell r="D4677">
            <v>42003</v>
          </cell>
          <cell r="U4677">
            <v>0</v>
          </cell>
          <cell r="Z4677">
            <v>1</v>
          </cell>
        </row>
        <row r="4678">
          <cell r="D4678">
            <v>42003</v>
          </cell>
          <cell r="U4678">
            <v>0</v>
          </cell>
          <cell r="Z4678">
            <v>1</v>
          </cell>
        </row>
        <row r="4679">
          <cell r="D4679">
            <v>42003</v>
          </cell>
          <cell r="U4679">
            <v>2</v>
          </cell>
          <cell r="Z4679">
            <v>0</v>
          </cell>
        </row>
        <row r="4680">
          <cell r="D4680">
            <v>42003</v>
          </cell>
          <cell r="U4680">
            <v>0</v>
          </cell>
          <cell r="Z4680">
            <v>1</v>
          </cell>
        </row>
        <row r="4681">
          <cell r="D4681">
            <v>42003</v>
          </cell>
          <cell r="U4681">
            <v>0</v>
          </cell>
          <cell r="Z4681">
            <v>1</v>
          </cell>
        </row>
        <row r="4682">
          <cell r="D4682">
            <v>42003</v>
          </cell>
          <cell r="U4682">
            <v>0</v>
          </cell>
          <cell r="Z4682">
            <v>1</v>
          </cell>
        </row>
        <row r="4683">
          <cell r="D4683">
            <v>42003</v>
          </cell>
          <cell r="U4683">
            <v>3</v>
          </cell>
          <cell r="Z4683">
            <v>0</v>
          </cell>
        </row>
        <row r="4684">
          <cell r="D4684">
            <v>42003</v>
          </cell>
          <cell r="U4684">
            <v>1</v>
          </cell>
          <cell r="Z4684">
            <v>0</v>
          </cell>
        </row>
        <row r="4685">
          <cell r="D4685">
            <v>42003</v>
          </cell>
          <cell r="U4685">
            <v>0</v>
          </cell>
          <cell r="Z4685">
            <v>1</v>
          </cell>
        </row>
        <row r="4686">
          <cell r="D4686">
            <v>42003</v>
          </cell>
          <cell r="U4686">
            <v>0</v>
          </cell>
          <cell r="Z4686">
            <v>1</v>
          </cell>
        </row>
        <row r="4687">
          <cell r="D4687">
            <v>42003</v>
          </cell>
          <cell r="U4687">
            <v>3</v>
          </cell>
          <cell r="Z4687">
            <v>0</v>
          </cell>
        </row>
        <row r="4688">
          <cell r="D4688">
            <v>42003</v>
          </cell>
          <cell r="U4688">
            <v>1</v>
          </cell>
          <cell r="Z4688">
            <v>0</v>
          </cell>
        </row>
        <row r="4689">
          <cell r="D4689">
            <v>42003</v>
          </cell>
          <cell r="U4689">
            <v>0</v>
          </cell>
          <cell r="Z4689">
            <v>1</v>
          </cell>
        </row>
        <row r="4690">
          <cell r="D4690">
            <v>42003</v>
          </cell>
          <cell r="U4690">
            <v>0</v>
          </cell>
          <cell r="Z4690">
            <v>1</v>
          </cell>
        </row>
        <row r="4691">
          <cell r="D4691">
            <v>42003</v>
          </cell>
          <cell r="U4691">
            <v>2</v>
          </cell>
          <cell r="Z4691">
            <v>0</v>
          </cell>
        </row>
        <row r="4692">
          <cell r="D4692">
            <v>42003</v>
          </cell>
          <cell r="U4692">
            <v>0</v>
          </cell>
          <cell r="Z4692">
            <v>1</v>
          </cell>
        </row>
        <row r="4693">
          <cell r="D4693">
            <v>42003</v>
          </cell>
          <cell r="U4693">
            <v>3</v>
          </cell>
          <cell r="Z4693">
            <v>0</v>
          </cell>
        </row>
        <row r="4694">
          <cell r="D4694">
            <v>42003</v>
          </cell>
          <cell r="U4694">
            <v>0</v>
          </cell>
          <cell r="Z4694">
            <v>1</v>
          </cell>
        </row>
        <row r="4695">
          <cell r="D4695">
            <v>42003</v>
          </cell>
          <cell r="U4695">
            <v>0</v>
          </cell>
          <cell r="Z4695">
            <v>1</v>
          </cell>
        </row>
        <row r="4696">
          <cell r="D4696">
            <v>42003</v>
          </cell>
          <cell r="U4696">
            <v>2</v>
          </cell>
          <cell r="Z4696">
            <v>0</v>
          </cell>
        </row>
        <row r="4697">
          <cell r="D4697">
            <v>42003</v>
          </cell>
          <cell r="U4697">
            <v>1</v>
          </cell>
          <cell r="Z4697">
            <v>0</v>
          </cell>
        </row>
        <row r="4698">
          <cell r="D4698">
            <v>42003</v>
          </cell>
          <cell r="U4698">
            <v>2</v>
          </cell>
          <cell r="Z4698">
            <v>0</v>
          </cell>
        </row>
        <row r="4699">
          <cell r="D4699">
            <v>42003</v>
          </cell>
          <cell r="U4699">
            <v>2</v>
          </cell>
          <cell r="Z4699">
            <v>0</v>
          </cell>
        </row>
        <row r="4700">
          <cell r="D4700">
            <v>42003</v>
          </cell>
          <cell r="U4700">
            <v>0</v>
          </cell>
          <cell r="Z4700">
            <v>1</v>
          </cell>
        </row>
        <row r="4701">
          <cell r="D4701">
            <v>42003</v>
          </cell>
          <cell r="U4701">
            <v>0</v>
          </cell>
          <cell r="Z4701">
            <v>1</v>
          </cell>
        </row>
        <row r="4702">
          <cell r="D4702">
            <v>42003</v>
          </cell>
          <cell r="U4702">
            <v>0</v>
          </cell>
          <cell r="Z4702">
            <v>1</v>
          </cell>
        </row>
        <row r="4703">
          <cell r="D4703">
            <v>42003</v>
          </cell>
          <cell r="U4703">
            <v>3</v>
          </cell>
          <cell r="Z4703">
            <v>0</v>
          </cell>
        </row>
        <row r="4704">
          <cell r="D4704">
            <v>42003</v>
          </cell>
          <cell r="U4704">
            <v>0</v>
          </cell>
          <cell r="Z4704">
            <v>1</v>
          </cell>
        </row>
        <row r="4705">
          <cell r="D4705">
            <v>42003</v>
          </cell>
          <cell r="U4705">
            <v>0</v>
          </cell>
          <cell r="Z4705">
            <v>1</v>
          </cell>
        </row>
        <row r="4706">
          <cell r="D4706">
            <v>42003</v>
          </cell>
          <cell r="U4706">
            <v>0</v>
          </cell>
          <cell r="Z4706">
            <v>1</v>
          </cell>
        </row>
        <row r="4707">
          <cell r="D4707">
            <v>42003</v>
          </cell>
          <cell r="U4707">
            <v>0</v>
          </cell>
          <cell r="Z4707">
            <v>1</v>
          </cell>
        </row>
        <row r="4708">
          <cell r="D4708">
            <v>42003</v>
          </cell>
          <cell r="U4708">
            <v>0</v>
          </cell>
          <cell r="Z4708">
            <v>1</v>
          </cell>
        </row>
        <row r="4709">
          <cell r="D4709">
            <v>42003</v>
          </cell>
          <cell r="U4709">
            <v>0</v>
          </cell>
          <cell r="Z4709">
            <v>1</v>
          </cell>
        </row>
        <row r="4710">
          <cell r="D4710">
            <v>42003</v>
          </cell>
          <cell r="U4710">
            <v>3</v>
          </cell>
          <cell r="Z4710">
            <v>0</v>
          </cell>
        </row>
        <row r="4711">
          <cell r="D4711">
            <v>42003</v>
          </cell>
          <cell r="U4711">
            <v>0</v>
          </cell>
          <cell r="Z4711">
            <v>1</v>
          </cell>
        </row>
        <row r="4712">
          <cell r="D4712">
            <v>42003</v>
          </cell>
          <cell r="U4712">
            <v>0</v>
          </cell>
          <cell r="Z4712">
            <v>1</v>
          </cell>
        </row>
        <row r="4713">
          <cell r="D4713">
            <v>42003</v>
          </cell>
          <cell r="U4713">
            <v>0</v>
          </cell>
          <cell r="Z4713">
            <v>1</v>
          </cell>
        </row>
        <row r="4714">
          <cell r="D4714">
            <v>42003</v>
          </cell>
          <cell r="U4714">
            <v>0</v>
          </cell>
          <cell r="Z4714">
            <v>1</v>
          </cell>
        </row>
        <row r="4715">
          <cell r="D4715">
            <v>42003</v>
          </cell>
          <cell r="U4715">
            <v>0</v>
          </cell>
          <cell r="Z4715">
            <v>1</v>
          </cell>
        </row>
        <row r="4716">
          <cell r="D4716">
            <v>42003</v>
          </cell>
          <cell r="U4716">
            <v>0</v>
          </cell>
          <cell r="Z4716">
            <v>1</v>
          </cell>
        </row>
        <row r="4717">
          <cell r="D4717">
            <v>42003</v>
          </cell>
          <cell r="U4717">
            <v>0</v>
          </cell>
          <cell r="Z4717">
            <v>1</v>
          </cell>
        </row>
        <row r="4718">
          <cell r="D4718">
            <v>42003</v>
          </cell>
          <cell r="U4718">
            <v>1</v>
          </cell>
          <cell r="Z4718">
            <v>0</v>
          </cell>
        </row>
        <row r="4719">
          <cell r="D4719">
            <v>42003</v>
          </cell>
          <cell r="U4719">
            <v>3</v>
          </cell>
          <cell r="Z4719">
            <v>0</v>
          </cell>
        </row>
        <row r="4720">
          <cell r="D4720">
            <v>42003</v>
          </cell>
          <cell r="U4720">
            <v>2</v>
          </cell>
          <cell r="Z4720">
            <v>0</v>
          </cell>
        </row>
        <row r="4721">
          <cell r="D4721">
            <v>42003</v>
          </cell>
          <cell r="U4721">
            <v>2</v>
          </cell>
          <cell r="Z4721">
            <v>0</v>
          </cell>
        </row>
        <row r="4722">
          <cell r="D4722">
            <v>42003</v>
          </cell>
          <cell r="U4722">
            <v>1</v>
          </cell>
          <cell r="Z4722">
            <v>0</v>
          </cell>
        </row>
        <row r="4723">
          <cell r="D4723">
            <v>42003</v>
          </cell>
          <cell r="U4723">
            <v>0</v>
          </cell>
          <cell r="Z4723">
            <v>1</v>
          </cell>
        </row>
        <row r="4724">
          <cell r="D4724">
            <v>42003</v>
          </cell>
          <cell r="U4724">
            <v>0</v>
          </cell>
          <cell r="Z4724">
            <v>1</v>
          </cell>
        </row>
        <row r="4725">
          <cell r="D4725">
            <v>42003</v>
          </cell>
          <cell r="U4725">
            <v>3</v>
          </cell>
          <cell r="Z4725">
            <v>0</v>
          </cell>
        </row>
        <row r="4726">
          <cell r="D4726">
            <v>42003</v>
          </cell>
          <cell r="U4726">
            <v>2</v>
          </cell>
          <cell r="Z4726">
            <v>0</v>
          </cell>
        </row>
        <row r="4727">
          <cell r="D4727">
            <v>42003</v>
          </cell>
          <cell r="U4727">
            <v>0</v>
          </cell>
          <cell r="Z4727">
            <v>1</v>
          </cell>
        </row>
        <row r="4728">
          <cell r="D4728">
            <v>42003</v>
          </cell>
          <cell r="U4728">
            <v>0</v>
          </cell>
          <cell r="Z4728">
            <v>1</v>
          </cell>
        </row>
        <row r="4729">
          <cell r="D4729">
            <v>42003</v>
          </cell>
          <cell r="U4729">
            <v>0</v>
          </cell>
          <cell r="Z4729">
            <v>1</v>
          </cell>
        </row>
        <row r="4730">
          <cell r="D4730">
            <v>42003</v>
          </cell>
          <cell r="U4730">
            <v>1</v>
          </cell>
          <cell r="Z4730">
            <v>0</v>
          </cell>
        </row>
        <row r="4731">
          <cell r="D4731">
            <v>42003</v>
          </cell>
          <cell r="U4731">
            <v>0</v>
          </cell>
          <cell r="Z4731">
            <v>1</v>
          </cell>
        </row>
        <row r="4732">
          <cell r="D4732">
            <v>42003</v>
          </cell>
          <cell r="U4732">
            <v>0</v>
          </cell>
          <cell r="Z4732">
            <v>1</v>
          </cell>
        </row>
        <row r="4733">
          <cell r="D4733">
            <v>42003</v>
          </cell>
          <cell r="U4733">
            <v>3</v>
          </cell>
          <cell r="Z4733">
            <v>0</v>
          </cell>
        </row>
        <row r="4734">
          <cell r="D4734">
            <v>42003</v>
          </cell>
          <cell r="U4734">
            <v>0</v>
          </cell>
          <cell r="Z4734">
            <v>1</v>
          </cell>
        </row>
        <row r="4735">
          <cell r="D4735">
            <v>42003</v>
          </cell>
          <cell r="U4735">
            <v>3</v>
          </cell>
          <cell r="Z4735">
            <v>0</v>
          </cell>
        </row>
        <row r="4736">
          <cell r="D4736">
            <v>42003</v>
          </cell>
          <cell r="U4736">
            <v>1</v>
          </cell>
          <cell r="Z4736">
            <v>0</v>
          </cell>
        </row>
        <row r="4737">
          <cell r="D4737">
            <v>42003</v>
          </cell>
          <cell r="U4737">
            <v>0</v>
          </cell>
          <cell r="Z4737">
            <v>1</v>
          </cell>
        </row>
        <row r="4738">
          <cell r="D4738">
            <v>42003</v>
          </cell>
          <cell r="U4738">
            <v>3</v>
          </cell>
          <cell r="Z4738">
            <v>0</v>
          </cell>
        </row>
        <row r="4739">
          <cell r="D4739">
            <v>42003</v>
          </cell>
          <cell r="U4739">
            <v>3</v>
          </cell>
          <cell r="Z4739">
            <v>0</v>
          </cell>
        </row>
        <row r="4740">
          <cell r="D4740">
            <v>42003</v>
          </cell>
          <cell r="U4740">
            <v>0</v>
          </cell>
          <cell r="Z4740">
            <v>1</v>
          </cell>
        </row>
        <row r="4741">
          <cell r="D4741">
            <v>42003</v>
          </cell>
          <cell r="U4741">
            <v>0</v>
          </cell>
          <cell r="Z4741">
            <v>1</v>
          </cell>
        </row>
        <row r="4742">
          <cell r="D4742">
            <v>42003</v>
          </cell>
          <cell r="U4742">
            <v>0</v>
          </cell>
          <cell r="Z4742">
            <v>1</v>
          </cell>
        </row>
        <row r="4743">
          <cell r="D4743">
            <v>42003</v>
          </cell>
          <cell r="U4743">
            <v>0</v>
          </cell>
          <cell r="Z4743">
            <v>1</v>
          </cell>
        </row>
        <row r="4744">
          <cell r="D4744">
            <v>42003</v>
          </cell>
          <cell r="U4744">
            <v>0</v>
          </cell>
          <cell r="Z4744">
            <v>1</v>
          </cell>
        </row>
        <row r="4745">
          <cell r="D4745">
            <v>42003</v>
          </cell>
          <cell r="U4745">
            <v>0</v>
          </cell>
          <cell r="Z4745">
            <v>1</v>
          </cell>
        </row>
        <row r="4746">
          <cell r="D4746">
            <v>42003</v>
          </cell>
          <cell r="U4746">
            <v>0</v>
          </cell>
          <cell r="Z4746">
            <v>1</v>
          </cell>
        </row>
        <row r="4747">
          <cell r="D4747">
            <v>42003</v>
          </cell>
          <cell r="U4747">
            <v>3</v>
          </cell>
          <cell r="Z4747">
            <v>0</v>
          </cell>
        </row>
        <row r="4748">
          <cell r="D4748">
            <v>42003</v>
          </cell>
          <cell r="U4748">
            <v>0</v>
          </cell>
          <cell r="Z4748">
            <v>1</v>
          </cell>
        </row>
        <row r="4749">
          <cell r="D4749">
            <v>42003</v>
          </cell>
          <cell r="U4749">
            <v>0</v>
          </cell>
          <cell r="Z4749">
            <v>1</v>
          </cell>
        </row>
        <row r="4750">
          <cell r="D4750">
            <v>42003</v>
          </cell>
          <cell r="U4750">
            <v>0</v>
          </cell>
          <cell r="Z4750">
            <v>1</v>
          </cell>
        </row>
        <row r="4751">
          <cell r="D4751">
            <v>42003</v>
          </cell>
          <cell r="U4751">
            <v>2</v>
          </cell>
          <cell r="Z4751">
            <v>0</v>
          </cell>
        </row>
        <row r="4752">
          <cell r="D4752">
            <v>42003</v>
          </cell>
          <cell r="U4752">
            <v>0</v>
          </cell>
          <cell r="Z4752">
            <v>1</v>
          </cell>
        </row>
        <row r="4753">
          <cell r="D4753">
            <v>42003</v>
          </cell>
          <cell r="U4753">
            <v>0</v>
          </cell>
          <cell r="Z4753">
            <v>1</v>
          </cell>
        </row>
        <row r="4754">
          <cell r="D4754">
            <v>42003</v>
          </cell>
          <cell r="U4754">
            <v>0</v>
          </cell>
          <cell r="Z4754">
            <v>1</v>
          </cell>
        </row>
        <row r="4755">
          <cell r="D4755">
            <v>42003</v>
          </cell>
          <cell r="U4755">
            <v>3</v>
          </cell>
          <cell r="Z4755">
            <v>0</v>
          </cell>
        </row>
        <row r="4756">
          <cell r="D4756">
            <v>42003</v>
          </cell>
          <cell r="U4756">
            <v>3</v>
          </cell>
          <cell r="Z4756">
            <v>0</v>
          </cell>
        </row>
        <row r="4757">
          <cell r="D4757">
            <v>42003</v>
          </cell>
          <cell r="U4757">
            <v>0</v>
          </cell>
          <cell r="Z4757">
            <v>1</v>
          </cell>
        </row>
        <row r="4758">
          <cell r="D4758">
            <v>42003</v>
          </cell>
          <cell r="U4758">
            <v>2</v>
          </cell>
          <cell r="Z4758">
            <v>0</v>
          </cell>
        </row>
        <row r="4759">
          <cell r="D4759">
            <v>42003</v>
          </cell>
          <cell r="U4759">
            <v>0</v>
          </cell>
          <cell r="Z4759">
            <v>1</v>
          </cell>
        </row>
        <row r="4760">
          <cell r="D4760">
            <v>42003</v>
          </cell>
          <cell r="U4760">
            <v>3</v>
          </cell>
          <cell r="Z4760">
            <v>0</v>
          </cell>
        </row>
        <row r="4761">
          <cell r="D4761">
            <v>42003</v>
          </cell>
          <cell r="U4761">
            <v>0</v>
          </cell>
          <cell r="Z4761">
            <v>1</v>
          </cell>
        </row>
        <row r="4762">
          <cell r="D4762">
            <v>42003</v>
          </cell>
          <cell r="U4762">
            <v>0</v>
          </cell>
          <cell r="Z4762">
            <v>1</v>
          </cell>
        </row>
        <row r="4763">
          <cell r="D4763">
            <v>42003</v>
          </cell>
          <cell r="U4763">
            <v>3</v>
          </cell>
          <cell r="Z4763">
            <v>0</v>
          </cell>
        </row>
        <row r="4764">
          <cell r="D4764">
            <v>42003</v>
          </cell>
          <cell r="U4764">
            <v>0</v>
          </cell>
          <cell r="Z4764">
            <v>1</v>
          </cell>
        </row>
        <row r="4765">
          <cell r="D4765">
            <v>42003</v>
          </cell>
          <cell r="U4765">
            <v>0</v>
          </cell>
          <cell r="Z4765">
            <v>1</v>
          </cell>
        </row>
        <row r="4766">
          <cell r="D4766">
            <v>42003</v>
          </cell>
          <cell r="U4766">
            <v>1</v>
          </cell>
          <cell r="Z4766">
            <v>0</v>
          </cell>
        </row>
        <row r="4767">
          <cell r="D4767">
            <v>42003</v>
          </cell>
          <cell r="U4767">
            <v>0</v>
          </cell>
          <cell r="Z4767">
            <v>1</v>
          </cell>
        </row>
        <row r="4768">
          <cell r="D4768">
            <v>42003</v>
          </cell>
          <cell r="U4768">
            <v>0</v>
          </cell>
          <cell r="Z4768">
            <v>1</v>
          </cell>
        </row>
        <row r="4769">
          <cell r="D4769">
            <v>42003</v>
          </cell>
          <cell r="U4769">
            <v>0</v>
          </cell>
          <cell r="Z4769">
            <v>1</v>
          </cell>
        </row>
        <row r="4770">
          <cell r="D4770">
            <v>42004</v>
          </cell>
          <cell r="U4770">
            <v>3</v>
          </cell>
          <cell r="Z4770">
            <v>0</v>
          </cell>
        </row>
        <row r="4771">
          <cell r="D4771">
            <v>42004</v>
          </cell>
          <cell r="U4771">
            <v>1</v>
          </cell>
          <cell r="Z4771">
            <v>0</v>
          </cell>
        </row>
        <row r="4772">
          <cell r="D4772">
            <v>42004</v>
          </cell>
          <cell r="U4772">
            <v>0</v>
          </cell>
          <cell r="Z4772">
            <v>1</v>
          </cell>
        </row>
        <row r="4773">
          <cell r="D4773">
            <v>42004</v>
          </cell>
          <cell r="U4773">
            <v>3</v>
          </cell>
          <cell r="Z4773">
            <v>0</v>
          </cell>
        </row>
        <row r="4774">
          <cell r="D4774">
            <v>42004</v>
          </cell>
          <cell r="U4774">
            <v>3</v>
          </cell>
          <cell r="Z4774">
            <v>0</v>
          </cell>
        </row>
        <row r="4775">
          <cell r="D4775">
            <v>42004</v>
          </cell>
          <cell r="U4775">
            <v>0</v>
          </cell>
          <cell r="Z4775">
            <v>1</v>
          </cell>
        </row>
        <row r="4776">
          <cell r="D4776">
            <v>42004</v>
          </cell>
          <cell r="U4776">
            <v>3</v>
          </cell>
          <cell r="Z4776">
            <v>0</v>
          </cell>
        </row>
        <row r="4777">
          <cell r="D4777">
            <v>42004</v>
          </cell>
          <cell r="U4777">
            <v>0</v>
          </cell>
          <cell r="Z4777">
            <v>1</v>
          </cell>
        </row>
        <row r="4778">
          <cell r="D4778">
            <v>42004</v>
          </cell>
          <cell r="U4778">
            <v>0</v>
          </cell>
          <cell r="Z4778">
            <v>1</v>
          </cell>
        </row>
        <row r="4779">
          <cell r="D4779">
            <v>42004</v>
          </cell>
          <cell r="U4779">
            <v>0</v>
          </cell>
          <cell r="Z4779">
            <v>1</v>
          </cell>
        </row>
        <row r="4780">
          <cell r="D4780">
            <v>42004</v>
          </cell>
          <cell r="U4780">
            <v>3</v>
          </cell>
          <cell r="Z4780">
            <v>0</v>
          </cell>
        </row>
        <row r="4781">
          <cell r="D4781">
            <v>42004</v>
          </cell>
          <cell r="U4781">
            <v>0</v>
          </cell>
          <cell r="Z4781">
            <v>1</v>
          </cell>
        </row>
        <row r="4782">
          <cell r="D4782">
            <v>42004</v>
          </cell>
          <cell r="U4782">
            <v>0</v>
          </cell>
          <cell r="Z4782">
            <v>1</v>
          </cell>
        </row>
        <row r="4783">
          <cell r="D4783">
            <v>42004</v>
          </cell>
          <cell r="U4783">
            <v>3</v>
          </cell>
          <cell r="Z4783">
            <v>0</v>
          </cell>
        </row>
        <row r="4784">
          <cell r="D4784">
            <v>42004</v>
          </cell>
          <cell r="U4784">
            <v>3</v>
          </cell>
          <cell r="Z4784">
            <v>0</v>
          </cell>
        </row>
        <row r="4785">
          <cell r="D4785">
            <v>42004</v>
          </cell>
          <cell r="U4785">
            <v>3</v>
          </cell>
          <cell r="Z4785">
            <v>0</v>
          </cell>
        </row>
        <row r="4786">
          <cell r="D4786">
            <v>42004</v>
          </cell>
          <cell r="U4786">
            <v>3</v>
          </cell>
          <cell r="Z4786">
            <v>0</v>
          </cell>
        </row>
        <row r="4787">
          <cell r="D4787">
            <v>42004</v>
          </cell>
          <cell r="U4787">
            <v>0</v>
          </cell>
          <cell r="Z4787">
            <v>1</v>
          </cell>
        </row>
        <row r="4788">
          <cell r="D4788">
            <v>42004</v>
          </cell>
          <cell r="U4788">
            <v>0</v>
          </cell>
          <cell r="Z4788">
            <v>1</v>
          </cell>
        </row>
        <row r="4789">
          <cell r="D4789">
            <v>42004</v>
          </cell>
          <cell r="U4789">
            <v>2</v>
          </cell>
          <cell r="Z4789">
            <v>0</v>
          </cell>
        </row>
        <row r="4790">
          <cell r="D4790">
            <v>42004</v>
          </cell>
          <cell r="U4790">
            <v>3</v>
          </cell>
          <cell r="Z4790">
            <v>0</v>
          </cell>
        </row>
        <row r="4791">
          <cell r="D4791">
            <v>42004</v>
          </cell>
          <cell r="U4791">
            <v>3</v>
          </cell>
          <cell r="Z4791">
            <v>0</v>
          </cell>
        </row>
        <row r="4792">
          <cell r="D4792">
            <v>42004</v>
          </cell>
          <cell r="U4792">
            <v>0</v>
          </cell>
          <cell r="Z4792">
            <v>1</v>
          </cell>
        </row>
        <row r="4793">
          <cell r="D4793">
            <v>42004</v>
          </cell>
          <cell r="U4793">
            <v>3</v>
          </cell>
          <cell r="Z4793">
            <v>0</v>
          </cell>
        </row>
        <row r="4794">
          <cell r="D4794">
            <v>42004</v>
          </cell>
          <cell r="U4794">
            <v>3</v>
          </cell>
          <cell r="Z4794">
            <v>0</v>
          </cell>
        </row>
        <row r="4795">
          <cell r="D4795">
            <v>42004</v>
          </cell>
          <cell r="U4795">
            <v>2</v>
          </cell>
          <cell r="Z4795">
            <v>0</v>
          </cell>
        </row>
        <row r="4796">
          <cell r="D4796">
            <v>42004</v>
          </cell>
          <cell r="U4796">
            <v>0</v>
          </cell>
          <cell r="Z4796">
            <v>1</v>
          </cell>
        </row>
        <row r="4797">
          <cell r="D4797">
            <v>42004</v>
          </cell>
          <cell r="U4797">
            <v>0</v>
          </cell>
          <cell r="Z4797">
            <v>1</v>
          </cell>
        </row>
        <row r="4798">
          <cell r="D4798">
            <v>42004</v>
          </cell>
          <cell r="U4798">
            <v>1</v>
          </cell>
          <cell r="Z4798">
            <v>0</v>
          </cell>
        </row>
        <row r="4799">
          <cell r="D4799">
            <v>42004</v>
          </cell>
          <cell r="U4799">
            <v>3</v>
          </cell>
          <cell r="Z4799">
            <v>0</v>
          </cell>
        </row>
        <row r="4800">
          <cell r="D4800">
            <v>42004</v>
          </cell>
          <cell r="U4800">
            <v>2</v>
          </cell>
          <cell r="Z4800">
            <v>0</v>
          </cell>
        </row>
        <row r="4801">
          <cell r="D4801">
            <v>42004</v>
          </cell>
          <cell r="U4801">
            <v>2</v>
          </cell>
          <cell r="Z4801">
            <v>0</v>
          </cell>
        </row>
        <row r="4802">
          <cell r="D4802">
            <v>42004</v>
          </cell>
          <cell r="U4802">
            <v>0</v>
          </cell>
          <cell r="Z4802">
            <v>1</v>
          </cell>
        </row>
        <row r="4803">
          <cell r="D4803">
            <v>42004</v>
          </cell>
          <cell r="U4803">
            <v>1</v>
          </cell>
          <cell r="Z4803">
            <v>0</v>
          </cell>
        </row>
        <row r="4804">
          <cell r="D4804">
            <v>42004</v>
          </cell>
          <cell r="U4804">
            <v>0</v>
          </cell>
          <cell r="Z4804">
            <v>1</v>
          </cell>
        </row>
        <row r="4805">
          <cell r="D4805">
            <v>42004</v>
          </cell>
          <cell r="U4805">
            <v>0</v>
          </cell>
          <cell r="Z4805">
            <v>1</v>
          </cell>
        </row>
        <row r="4806">
          <cell r="D4806">
            <v>42004</v>
          </cell>
          <cell r="U4806">
            <v>0</v>
          </cell>
          <cell r="Z4806">
            <v>1</v>
          </cell>
        </row>
        <row r="4807">
          <cell r="D4807">
            <v>42004</v>
          </cell>
          <cell r="U4807">
            <v>0</v>
          </cell>
          <cell r="Z4807">
            <v>1</v>
          </cell>
        </row>
        <row r="4808">
          <cell r="D4808">
            <v>42004</v>
          </cell>
          <cell r="U4808">
            <v>0</v>
          </cell>
          <cell r="Z4808">
            <v>1</v>
          </cell>
        </row>
        <row r="4809">
          <cell r="D4809">
            <v>42004</v>
          </cell>
          <cell r="U4809">
            <v>0</v>
          </cell>
          <cell r="Z4809">
            <v>1</v>
          </cell>
        </row>
        <row r="4810">
          <cell r="D4810">
            <v>42004</v>
          </cell>
          <cell r="U4810">
            <v>0</v>
          </cell>
          <cell r="Z4810">
            <v>1</v>
          </cell>
        </row>
        <row r="4811">
          <cell r="D4811">
            <v>42004</v>
          </cell>
          <cell r="U4811">
            <v>0</v>
          </cell>
          <cell r="Z4811">
            <v>1</v>
          </cell>
        </row>
        <row r="4812">
          <cell r="D4812">
            <v>42004</v>
          </cell>
          <cell r="U4812">
            <v>0</v>
          </cell>
          <cell r="Z4812">
            <v>1</v>
          </cell>
        </row>
        <row r="4813">
          <cell r="D4813">
            <v>42004</v>
          </cell>
          <cell r="U4813">
            <v>3</v>
          </cell>
          <cell r="Z4813">
            <v>0</v>
          </cell>
        </row>
        <row r="4814">
          <cell r="D4814">
            <v>42004</v>
          </cell>
          <cell r="U4814">
            <v>0</v>
          </cell>
          <cell r="Z4814">
            <v>1</v>
          </cell>
        </row>
        <row r="4815">
          <cell r="D4815">
            <v>42004</v>
          </cell>
          <cell r="U4815">
            <v>3</v>
          </cell>
          <cell r="Z4815">
            <v>0</v>
          </cell>
        </row>
        <row r="4816">
          <cell r="D4816">
            <v>42004</v>
          </cell>
          <cell r="U4816">
            <v>2</v>
          </cell>
          <cell r="Z4816">
            <v>0</v>
          </cell>
        </row>
        <row r="4817">
          <cell r="D4817">
            <v>42004</v>
          </cell>
          <cell r="U4817">
            <v>3</v>
          </cell>
          <cell r="Z4817">
            <v>0</v>
          </cell>
        </row>
        <row r="4818">
          <cell r="D4818">
            <v>42004</v>
          </cell>
          <cell r="U4818">
            <v>1</v>
          </cell>
          <cell r="Z4818">
            <v>0</v>
          </cell>
        </row>
        <row r="4819">
          <cell r="D4819">
            <v>42004</v>
          </cell>
          <cell r="U4819">
            <v>1</v>
          </cell>
          <cell r="Z4819">
            <v>0</v>
          </cell>
        </row>
        <row r="4820">
          <cell r="D4820">
            <v>42004</v>
          </cell>
          <cell r="U4820">
            <v>3</v>
          </cell>
          <cell r="Z4820">
            <v>0</v>
          </cell>
        </row>
        <row r="4821">
          <cell r="D4821">
            <v>42004</v>
          </cell>
          <cell r="U4821">
            <v>3</v>
          </cell>
          <cell r="Z4821">
            <v>0</v>
          </cell>
        </row>
        <row r="4822">
          <cell r="D4822">
            <v>42004</v>
          </cell>
          <cell r="U4822">
            <v>0</v>
          </cell>
          <cell r="Z4822">
            <v>1</v>
          </cell>
        </row>
        <row r="4823">
          <cell r="D4823">
            <v>42004</v>
          </cell>
          <cell r="U4823">
            <v>2</v>
          </cell>
          <cell r="Z4823">
            <v>0</v>
          </cell>
        </row>
        <row r="4824">
          <cell r="D4824">
            <v>42004</v>
          </cell>
          <cell r="U4824">
            <v>3</v>
          </cell>
          <cell r="Z4824">
            <v>0</v>
          </cell>
        </row>
        <row r="4825">
          <cell r="D4825">
            <v>42004</v>
          </cell>
          <cell r="U4825">
            <v>0</v>
          </cell>
          <cell r="Z4825">
            <v>1</v>
          </cell>
        </row>
        <row r="4826">
          <cell r="D4826">
            <v>42004</v>
          </cell>
          <cell r="U4826">
            <v>2</v>
          </cell>
          <cell r="Z4826">
            <v>0</v>
          </cell>
        </row>
        <row r="4827">
          <cell r="D4827">
            <v>42004</v>
          </cell>
          <cell r="U4827">
            <v>2</v>
          </cell>
          <cell r="Z4827">
            <v>0</v>
          </cell>
        </row>
        <row r="4828">
          <cell r="D4828">
            <v>42004</v>
          </cell>
          <cell r="U4828">
            <v>0</v>
          </cell>
          <cell r="Z4828">
            <v>1</v>
          </cell>
        </row>
        <row r="4829">
          <cell r="D4829">
            <v>42004</v>
          </cell>
          <cell r="U4829">
            <v>0</v>
          </cell>
          <cell r="Z4829">
            <v>1</v>
          </cell>
        </row>
        <row r="4830">
          <cell r="D4830">
            <v>42004</v>
          </cell>
          <cell r="U4830">
            <v>3</v>
          </cell>
          <cell r="Z4830">
            <v>0</v>
          </cell>
        </row>
        <row r="4831">
          <cell r="D4831">
            <v>42004</v>
          </cell>
          <cell r="U4831">
            <v>1</v>
          </cell>
          <cell r="Z4831">
            <v>0</v>
          </cell>
        </row>
        <row r="4832">
          <cell r="D4832">
            <v>42004</v>
          </cell>
          <cell r="U4832">
            <v>0</v>
          </cell>
          <cell r="Z4832">
            <v>1</v>
          </cell>
        </row>
        <row r="4833">
          <cell r="D4833">
            <v>42004</v>
          </cell>
          <cell r="U4833">
            <v>1</v>
          </cell>
          <cell r="Z4833">
            <v>0</v>
          </cell>
        </row>
        <row r="4834">
          <cell r="D4834">
            <v>42004</v>
          </cell>
          <cell r="U4834">
            <v>0</v>
          </cell>
          <cell r="Z4834">
            <v>1</v>
          </cell>
        </row>
        <row r="4835">
          <cell r="D4835">
            <v>42004</v>
          </cell>
          <cell r="U4835">
            <v>0</v>
          </cell>
          <cell r="Z4835">
            <v>1</v>
          </cell>
        </row>
        <row r="4836">
          <cell r="D4836">
            <v>42004</v>
          </cell>
          <cell r="U4836">
            <v>1</v>
          </cell>
          <cell r="Z4836">
            <v>0</v>
          </cell>
        </row>
        <row r="4837">
          <cell r="D4837">
            <v>42004</v>
          </cell>
          <cell r="U4837">
            <v>0</v>
          </cell>
          <cell r="Z4837">
            <v>1</v>
          </cell>
        </row>
        <row r="4838">
          <cell r="D4838">
            <v>42004</v>
          </cell>
          <cell r="U4838">
            <v>0</v>
          </cell>
          <cell r="Z4838">
            <v>1</v>
          </cell>
        </row>
        <row r="4839">
          <cell r="D4839">
            <v>42004</v>
          </cell>
          <cell r="U4839">
            <v>1</v>
          </cell>
          <cell r="Z4839">
            <v>0</v>
          </cell>
        </row>
        <row r="4840">
          <cell r="D4840">
            <v>42004</v>
          </cell>
          <cell r="U4840">
            <v>0</v>
          </cell>
          <cell r="Z4840">
            <v>1</v>
          </cell>
        </row>
        <row r="4841">
          <cell r="D4841">
            <v>42004</v>
          </cell>
          <cell r="U4841">
            <v>0</v>
          </cell>
          <cell r="Z4841">
            <v>1</v>
          </cell>
        </row>
        <row r="4842">
          <cell r="D4842">
            <v>42004</v>
          </cell>
          <cell r="U4842">
            <v>1</v>
          </cell>
          <cell r="Z4842">
            <v>0</v>
          </cell>
        </row>
        <row r="4843">
          <cell r="D4843">
            <v>42004</v>
          </cell>
          <cell r="U4843">
            <v>0</v>
          </cell>
          <cell r="Z4843">
            <v>1</v>
          </cell>
        </row>
        <row r="4844">
          <cell r="D4844">
            <v>42004</v>
          </cell>
          <cell r="U4844">
            <v>1</v>
          </cell>
          <cell r="Z4844">
            <v>0</v>
          </cell>
        </row>
        <row r="4845">
          <cell r="D4845">
            <v>42004</v>
          </cell>
          <cell r="U4845">
            <v>0</v>
          </cell>
          <cell r="Z4845">
            <v>1</v>
          </cell>
        </row>
        <row r="4846">
          <cell r="D4846">
            <v>42004</v>
          </cell>
          <cell r="U4846">
            <v>0</v>
          </cell>
          <cell r="Z4846">
            <v>1</v>
          </cell>
        </row>
        <row r="4847">
          <cell r="D4847">
            <v>42004</v>
          </cell>
          <cell r="U4847">
            <v>0</v>
          </cell>
          <cell r="Z4847">
            <v>1</v>
          </cell>
        </row>
        <row r="4848">
          <cell r="D4848">
            <v>42004</v>
          </cell>
          <cell r="U4848">
            <v>0</v>
          </cell>
          <cell r="Z4848">
            <v>1</v>
          </cell>
        </row>
        <row r="4849">
          <cell r="D4849">
            <v>42004</v>
          </cell>
          <cell r="U4849">
            <v>0</v>
          </cell>
          <cell r="Z4849">
            <v>1</v>
          </cell>
        </row>
        <row r="4850">
          <cell r="D4850">
            <v>42004</v>
          </cell>
          <cell r="U4850">
            <v>0</v>
          </cell>
          <cell r="Z4850">
            <v>1</v>
          </cell>
        </row>
        <row r="4851">
          <cell r="D4851">
            <v>42004</v>
          </cell>
          <cell r="U4851">
            <v>0</v>
          </cell>
          <cell r="Z4851">
            <v>1</v>
          </cell>
        </row>
        <row r="4852">
          <cell r="D4852">
            <v>42004</v>
          </cell>
          <cell r="U4852">
            <v>0</v>
          </cell>
          <cell r="Z4852">
            <v>1</v>
          </cell>
        </row>
        <row r="4853">
          <cell r="D4853">
            <v>42004</v>
          </cell>
          <cell r="U4853">
            <v>0</v>
          </cell>
          <cell r="Z4853">
            <v>1</v>
          </cell>
        </row>
        <row r="4854">
          <cell r="D4854">
            <v>42004</v>
          </cell>
          <cell r="U4854">
            <v>0</v>
          </cell>
          <cell r="Z4854">
            <v>1</v>
          </cell>
        </row>
        <row r="4855">
          <cell r="D4855">
            <v>42004</v>
          </cell>
          <cell r="U4855">
            <v>0</v>
          </cell>
          <cell r="Z4855">
            <v>1</v>
          </cell>
        </row>
        <row r="4856">
          <cell r="D4856">
            <v>42004</v>
          </cell>
          <cell r="U4856">
            <v>3</v>
          </cell>
          <cell r="Z4856">
            <v>0</v>
          </cell>
        </row>
        <row r="4857">
          <cell r="D4857">
            <v>42004</v>
          </cell>
          <cell r="U4857">
            <v>3</v>
          </cell>
          <cell r="Z4857">
            <v>0</v>
          </cell>
        </row>
        <row r="4858">
          <cell r="D4858">
            <v>42004</v>
          </cell>
          <cell r="U4858">
            <v>0</v>
          </cell>
          <cell r="Z4858">
            <v>1</v>
          </cell>
        </row>
        <row r="4859">
          <cell r="D4859">
            <v>42004</v>
          </cell>
          <cell r="U4859">
            <v>0</v>
          </cell>
          <cell r="Z4859">
            <v>1</v>
          </cell>
        </row>
        <row r="4860">
          <cell r="D4860">
            <v>42004</v>
          </cell>
          <cell r="U4860">
            <v>0</v>
          </cell>
          <cell r="Z4860">
            <v>1</v>
          </cell>
        </row>
        <row r="4861">
          <cell r="D4861">
            <v>42004</v>
          </cell>
          <cell r="U4861">
            <v>0</v>
          </cell>
          <cell r="Z4861">
            <v>1</v>
          </cell>
        </row>
        <row r="4862">
          <cell r="D4862">
            <v>42004</v>
          </cell>
          <cell r="U4862">
            <v>0</v>
          </cell>
          <cell r="Z4862">
            <v>1</v>
          </cell>
        </row>
        <row r="4863">
          <cell r="D4863">
            <v>42004</v>
          </cell>
          <cell r="U4863">
            <v>0</v>
          </cell>
          <cell r="Z4863">
            <v>1</v>
          </cell>
        </row>
        <row r="4864">
          <cell r="D4864">
            <v>42004</v>
          </cell>
          <cell r="U4864">
            <v>2</v>
          </cell>
          <cell r="Z4864">
            <v>0</v>
          </cell>
        </row>
        <row r="4865">
          <cell r="D4865">
            <v>42004</v>
          </cell>
          <cell r="U4865">
            <v>1</v>
          </cell>
          <cell r="Z4865">
            <v>0</v>
          </cell>
        </row>
        <row r="4866">
          <cell r="D4866">
            <v>42004</v>
          </cell>
          <cell r="U4866">
            <v>1</v>
          </cell>
          <cell r="Z4866">
            <v>0</v>
          </cell>
        </row>
        <row r="4867">
          <cell r="D4867">
            <v>42004</v>
          </cell>
          <cell r="U4867">
            <v>0</v>
          </cell>
          <cell r="Z4867">
            <v>1</v>
          </cell>
        </row>
        <row r="4868">
          <cell r="D4868">
            <v>42004</v>
          </cell>
          <cell r="U4868">
            <v>0</v>
          </cell>
          <cell r="Z4868">
            <v>1</v>
          </cell>
        </row>
        <row r="4869">
          <cell r="D4869">
            <v>42004</v>
          </cell>
          <cell r="U4869">
            <v>0</v>
          </cell>
          <cell r="Z4869">
            <v>1</v>
          </cell>
        </row>
        <row r="4870">
          <cell r="D4870">
            <v>41974</v>
          </cell>
          <cell r="U4870">
            <v>0</v>
          </cell>
          <cell r="Z4870">
            <v>1</v>
          </cell>
        </row>
        <row r="4871">
          <cell r="D4871">
            <v>41974</v>
          </cell>
          <cell r="U4871">
            <v>2</v>
          </cell>
          <cell r="Z4871">
            <v>0</v>
          </cell>
        </row>
        <row r="4872">
          <cell r="D4872">
            <v>41974</v>
          </cell>
          <cell r="U4872">
            <v>0</v>
          </cell>
          <cell r="Z4872">
            <v>1</v>
          </cell>
        </row>
        <row r="4873">
          <cell r="D4873">
            <v>41974</v>
          </cell>
          <cell r="U4873">
            <v>3</v>
          </cell>
          <cell r="Z4873">
            <v>0</v>
          </cell>
        </row>
        <row r="4874">
          <cell r="D4874">
            <v>41974</v>
          </cell>
          <cell r="U4874">
            <v>1</v>
          </cell>
          <cell r="Z4874">
            <v>0</v>
          </cell>
        </row>
        <row r="4875">
          <cell r="D4875">
            <v>41974</v>
          </cell>
          <cell r="U4875">
            <v>0</v>
          </cell>
          <cell r="Z4875">
            <v>1</v>
          </cell>
        </row>
        <row r="4876">
          <cell r="D4876">
            <v>41974</v>
          </cell>
          <cell r="U4876">
            <v>0</v>
          </cell>
          <cell r="Z4876">
            <v>1</v>
          </cell>
        </row>
        <row r="4877">
          <cell r="D4877">
            <v>41974</v>
          </cell>
          <cell r="U4877">
            <v>0</v>
          </cell>
          <cell r="Z4877">
            <v>1</v>
          </cell>
        </row>
        <row r="4878">
          <cell r="D4878">
            <v>41974</v>
          </cell>
          <cell r="U4878">
            <v>2</v>
          </cell>
          <cell r="Z4878">
            <v>0</v>
          </cell>
        </row>
        <row r="4879">
          <cell r="D4879">
            <v>41974</v>
          </cell>
          <cell r="U4879">
            <v>0</v>
          </cell>
          <cell r="Z4879">
            <v>1</v>
          </cell>
        </row>
        <row r="4880">
          <cell r="D4880">
            <v>41974</v>
          </cell>
          <cell r="U4880">
            <v>0</v>
          </cell>
          <cell r="Z4880">
            <v>1</v>
          </cell>
        </row>
        <row r="4881">
          <cell r="D4881">
            <v>41974</v>
          </cell>
          <cell r="U4881">
            <v>2</v>
          </cell>
          <cell r="Z4881">
            <v>0</v>
          </cell>
        </row>
        <row r="4882">
          <cell r="D4882">
            <v>41974</v>
          </cell>
          <cell r="U4882">
            <v>0</v>
          </cell>
          <cell r="Z4882">
            <v>1</v>
          </cell>
        </row>
        <row r="4883">
          <cell r="D4883">
            <v>41975</v>
          </cell>
          <cell r="U4883">
            <v>0</v>
          </cell>
          <cell r="Z4883">
            <v>1</v>
          </cell>
        </row>
        <row r="4884">
          <cell r="D4884">
            <v>41975</v>
          </cell>
          <cell r="U4884">
            <v>3</v>
          </cell>
          <cell r="Z4884">
            <v>0</v>
          </cell>
        </row>
        <row r="4885">
          <cell r="D4885">
            <v>41975</v>
          </cell>
          <cell r="U4885">
            <v>0</v>
          </cell>
          <cell r="Z4885">
            <v>1</v>
          </cell>
        </row>
        <row r="4886">
          <cell r="D4886">
            <v>41975</v>
          </cell>
          <cell r="U4886">
            <v>0</v>
          </cell>
          <cell r="Z4886">
            <v>1</v>
          </cell>
        </row>
        <row r="4887">
          <cell r="D4887">
            <v>41975</v>
          </cell>
          <cell r="U4887">
            <v>2</v>
          </cell>
          <cell r="Z4887">
            <v>0</v>
          </cell>
        </row>
        <row r="4888">
          <cell r="D4888">
            <v>41975</v>
          </cell>
          <cell r="U4888">
            <v>1</v>
          </cell>
          <cell r="Z4888">
            <v>0</v>
          </cell>
        </row>
        <row r="4889">
          <cell r="D4889">
            <v>41975</v>
          </cell>
          <cell r="U4889">
            <v>0</v>
          </cell>
          <cell r="Z4889">
            <v>1</v>
          </cell>
        </row>
        <row r="4890">
          <cell r="D4890">
            <v>41975</v>
          </cell>
          <cell r="U4890">
            <v>0</v>
          </cell>
          <cell r="Z4890">
            <v>1</v>
          </cell>
        </row>
        <row r="4891">
          <cell r="D4891">
            <v>41975</v>
          </cell>
          <cell r="U4891">
            <v>0</v>
          </cell>
          <cell r="Z4891">
            <v>0</v>
          </cell>
        </row>
        <row r="4892">
          <cell r="D4892">
            <v>41975</v>
          </cell>
          <cell r="U4892">
            <v>0</v>
          </cell>
          <cell r="Z4892">
            <v>1</v>
          </cell>
        </row>
        <row r="4893">
          <cell r="D4893">
            <v>41975</v>
          </cell>
          <cell r="U4893">
            <v>1</v>
          </cell>
          <cell r="Z4893">
            <v>0</v>
          </cell>
        </row>
        <row r="4894">
          <cell r="D4894">
            <v>41975</v>
          </cell>
          <cell r="U4894">
            <v>0</v>
          </cell>
          <cell r="Z4894">
            <v>1</v>
          </cell>
        </row>
        <row r="4895">
          <cell r="D4895">
            <v>41975</v>
          </cell>
          <cell r="U4895">
            <v>1</v>
          </cell>
          <cell r="Z4895">
            <v>0</v>
          </cell>
        </row>
        <row r="4896">
          <cell r="D4896">
            <v>41976</v>
          </cell>
          <cell r="U4896">
            <v>0</v>
          </cell>
          <cell r="Z4896">
            <v>1</v>
          </cell>
        </row>
        <row r="4897">
          <cell r="D4897">
            <v>41976</v>
          </cell>
          <cell r="U4897">
            <v>2</v>
          </cell>
          <cell r="Z4897">
            <v>0</v>
          </cell>
        </row>
        <row r="4898">
          <cell r="D4898">
            <v>41977</v>
          </cell>
          <cell r="U4898">
            <v>0</v>
          </cell>
          <cell r="Z4898">
            <v>1</v>
          </cell>
        </row>
        <row r="4899">
          <cell r="D4899">
            <v>41977</v>
          </cell>
          <cell r="U4899">
            <v>0</v>
          </cell>
          <cell r="Z4899">
            <v>0</v>
          </cell>
        </row>
        <row r="4900">
          <cell r="D4900">
            <v>41977</v>
          </cell>
          <cell r="U4900">
            <v>0</v>
          </cell>
          <cell r="Z4900">
            <v>1</v>
          </cell>
        </row>
        <row r="4901">
          <cell r="D4901">
            <v>41977</v>
          </cell>
          <cell r="U4901">
            <v>2</v>
          </cell>
          <cell r="Z4901">
            <v>0</v>
          </cell>
        </row>
        <row r="4902">
          <cell r="D4902">
            <v>41977</v>
          </cell>
          <cell r="U4902">
            <v>1</v>
          </cell>
          <cell r="Z4902">
            <v>0</v>
          </cell>
        </row>
        <row r="4903">
          <cell r="D4903">
            <v>41977</v>
          </cell>
          <cell r="U4903">
            <v>0</v>
          </cell>
          <cell r="Z4903">
            <v>1</v>
          </cell>
        </row>
        <row r="4904">
          <cell r="D4904">
            <v>41977</v>
          </cell>
          <cell r="U4904">
            <v>2</v>
          </cell>
          <cell r="Z4904">
            <v>0</v>
          </cell>
        </row>
        <row r="4905">
          <cell r="D4905">
            <v>41978</v>
          </cell>
          <cell r="U4905">
            <v>0</v>
          </cell>
          <cell r="Z4905">
            <v>1</v>
          </cell>
        </row>
        <row r="4906">
          <cell r="D4906">
            <v>41978</v>
          </cell>
          <cell r="U4906">
            <v>2</v>
          </cell>
          <cell r="Z4906">
            <v>0</v>
          </cell>
        </row>
        <row r="4907">
          <cell r="D4907">
            <v>41978</v>
          </cell>
          <cell r="U4907">
            <v>3</v>
          </cell>
          <cell r="Z4907">
            <v>0</v>
          </cell>
        </row>
        <row r="4908">
          <cell r="D4908">
            <v>41978</v>
          </cell>
          <cell r="U4908">
            <v>0</v>
          </cell>
          <cell r="Z4908">
            <v>1</v>
          </cell>
        </row>
        <row r="4909">
          <cell r="D4909">
            <v>41978</v>
          </cell>
          <cell r="U4909">
            <v>2</v>
          </cell>
          <cell r="Z4909">
            <v>0</v>
          </cell>
        </row>
        <row r="4910">
          <cell r="D4910">
            <v>41979</v>
          </cell>
          <cell r="U4910">
            <v>1</v>
          </cell>
          <cell r="Z4910">
            <v>0</v>
          </cell>
        </row>
        <row r="4911">
          <cell r="D4911">
            <v>41979</v>
          </cell>
          <cell r="U4911">
            <v>3</v>
          </cell>
          <cell r="Z4911">
            <v>0</v>
          </cell>
        </row>
        <row r="4912">
          <cell r="D4912">
            <v>41979</v>
          </cell>
          <cell r="U4912">
            <v>0</v>
          </cell>
          <cell r="Z4912">
            <v>1</v>
          </cell>
        </row>
        <row r="4913">
          <cell r="D4913">
            <v>41979</v>
          </cell>
          <cell r="U4913">
            <v>0</v>
          </cell>
          <cell r="Z4913">
            <v>1</v>
          </cell>
        </row>
        <row r="4914">
          <cell r="D4914">
            <v>41979</v>
          </cell>
          <cell r="U4914">
            <v>2</v>
          </cell>
          <cell r="Z4914">
            <v>0</v>
          </cell>
        </row>
        <row r="4915">
          <cell r="D4915">
            <v>41979</v>
          </cell>
          <cell r="U4915">
            <v>1</v>
          </cell>
          <cell r="Z4915">
            <v>0</v>
          </cell>
        </row>
        <row r="4916">
          <cell r="D4916">
            <v>41979</v>
          </cell>
          <cell r="U4916">
            <v>0</v>
          </cell>
          <cell r="Z4916">
            <v>1</v>
          </cell>
        </row>
        <row r="4917">
          <cell r="D4917">
            <v>41979</v>
          </cell>
          <cell r="U4917">
            <v>0</v>
          </cell>
          <cell r="Z4917">
            <v>1</v>
          </cell>
        </row>
        <row r="4918">
          <cell r="D4918">
            <v>41979</v>
          </cell>
          <cell r="U4918">
            <v>0</v>
          </cell>
          <cell r="Z4918">
            <v>1</v>
          </cell>
        </row>
        <row r="4919">
          <cell r="D4919">
            <v>41979</v>
          </cell>
          <cell r="U4919">
            <v>3</v>
          </cell>
          <cell r="Z4919">
            <v>0</v>
          </cell>
        </row>
        <row r="4920">
          <cell r="D4920">
            <v>41979</v>
          </cell>
          <cell r="U4920">
            <v>2</v>
          </cell>
          <cell r="Z4920">
            <v>0</v>
          </cell>
        </row>
        <row r="4921">
          <cell r="D4921">
            <v>41979</v>
          </cell>
          <cell r="U4921">
            <v>0</v>
          </cell>
          <cell r="Z4921">
            <v>0</v>
          </cell>
        </row>
        <row r="4922">
          <cell r="D4922">
            <v>41979</v>
          </cell>
          <cell r="U4922">
            <v>0</v>
          </cell>
          <cell r="Z4922">
            <v>1</v>
          </cell>
        </row>
        <row r="4923">
          <cell r="D4923">
            <v>41979</v>
          </cell>
          <cell r="U4923">
            <v>0</v>
          </cell>
          <cell r="Z4923">
            <v>1</v>
          </cell>
        </row>
        <row r="4924">
          <cell r="D4924">
            <v>41979</v>
          </cell>
          <cell r="U4924">
            <v>2</v>
          </cell>
          <cell r="Z4924">
            <v>0</v>
          </cell>
        </row>
        <row r="4925">
          <cell r="D4925">
            <v>41980</v>
          </cell>
          <cell r="U4925">
            <v>0</v>
          </cell>
          <cell r="Z4925">
            <v>1</v>
          </cell>
        </row>
        <row r="4926">
          <cell r="D4926">
            <v>41980</v>
          </cell>
          <cell r="U4926">
            <v>0</v>
          </cell>
          <cell r="Z4926">
            <v>1</v>
          </cell>
        </row>
        <row r="4927">
          <cell r="D4927">
            <v>41980</v>
          </cell>
          <cell r="U4927">
            <v>0</v>
          </cell>
          <cell r="Z4927">
            <v>1</v>
          </cell>
        </row>
        <row r="4928">
          <cell r="D4928">
            <v>41980</v>
          </cell>
          <cell r="U4928">
            <v>3</v>
          </cell>
          <cell r="Z4928">
            <v>0</v>
          </cell>
        </row>
        <row r="4929">
          <cell r="D4929">
            <v>41980</v>
          </cell>
          <cell r="U4929">
            <v>2</v>
          </cell>
          <cell r="Z4929">
            <v>0</v>
          </cell>
        </row>
        <row r="4930">
          <cell r="D4930">
            <v>41980</v>
          </cell>
          <cell r="U4930">
            <v>0</v>
          </cell>
          <cell r="Z4930">
            <v>1</v>
          </cell>
        </row>
        <row r="4931">
          <cell r="D4931">
            <v>41980</v>
          </cell>
          <cell r="U4931">
            <v>0</v>
          </cell>
          <cell r="Z4931">
            <v>1</v>
          </cell>
        </row>
        <row r="4932">
          <cell r="D4932">
            <v>41981</v>
          </cell>
          <cell r="U4932">
            <v>3</v>
          </cell>
          <cell r="Z4932">
            <v>0</v>
          </cell>
        </row>
        <row r="4933">
          <cell r="D4933">
            <v>41981</v>
          </cell>
          <cell r="U4933">
            <v>0</v>
          </cell>
          <cell r="Z4933">
            <v>1</v>
          </cell>
        </row>
        <row r="4934">
          <cell r="D4934">
            <v>41981</v>
          </cell>
          <cell r="U4934">
            <v>0</v>
          </cell>
          <cell r="Z4934">
            <v>1</v>
          </cell>
        </row>
        <row r="4935">
          <cell r="D4935">
            <v>41981</v>
          </cell>
          <cell r="U4935">
            <v>1</v>
          </cell>
          <cell r="Z4935">
            <v>0</v>
          </cell>
        </row>
        <row r="4936">
          <cell r="D4936">
            <v>41981</v>
          </cell>
          <cell r="U4936">
            <v>1</v>
          </cell>
          <cell r="Z4936">
            <v>0</v>
          </cell>
        </row>
        <row r="4937">
          <cell r="D4937">
            <v>41981</v>
          </cell>
          <cell r="U4937">
            <v>0</v>
          </cell>
          <cell r="Z4937">
            <v>0</v>
          </cell>
        </row>
        <row r="4938">
          <cell r="D4938">
            <v>41981</v>
          </cell>
          <cell r="U4938">
            <v>0</v>
          </cell>
          <cell r="Z4938">
            <v>1</v>
          </cell>
        </row>
        <row r="4939">
          <cell r="D4939">
            <v>41981</v>
          </cell>
          <cell r="U4939">
            <v>0</v>
          </cell>
          <cell r="Z4939">
            <v>1</v>
          </cell>
        </row>
        <row r="4940">
          <cell r="D4940">
            <v>41981</v>
          </cell>
          <cell r="U4940">
            <v>1</v>
          </cell>
          <cell r="Z4940">
            <v>0</v>
          </cell>
        </row>
        <row r="4941">
          <cell r="D4941">
            <v>41981</v>
          </cell>
          <cell r="U4941">
            <v>0</v>
          </cell>
          <cell r="Z4941">
            <v>1</v>
          </cell>
        </row>
        <row r="4942">
          <cell r="D4942">
            <v>41981</v>
          </cell>
          <cell r="U4942">
            <v>0</v>
          </cell>
          <cell r="Z4942">
            <v>1</v>
          </cell>
        </row>
        <row r="4943">
          <cell r="D4943">
            <v>41981</v>
          </cell>
          <cell r="U4943">
            <v>0</v>
          </cell>
          <cell r="Z4943">
            <v>1</v>
          </cell>
        </row>
        <row r="4944">
          <cell r="D4944">
            <v>41981</v>
          </cell>
          <cell r="U4944">
            <v>0</v>
          </cell>
          <cell r="Z4944">
            <v>1</v>
          </cell>
        </row>
        <row r="4945">
          <cell r="D4945">
            <v>41982</v>
          </cell>
          <cell r="U4945">
            <v>0</v>
          </cell>
          <cell r="Z4945">
            <v>1</v>
          </cell>
        </row>
        <row r="4946">
          <cell r="D4946">
            <v>41982</v>
          </cell>
          <cell r="U4946">
            <v>3</v>
          </cell>
          <cell r="Z4946">
            <v>0</v>
          </cell>
        </row>
        <row r="4947">
          <cell r="D4947">
            <v>41982</v>
          </cell>
          <cell r="U4947">
            <v>0</v>
          </cell>
          <cell r="Z4947">
            <v>1</v>
          </cell>
        </row>
        <row r="4948">
          <cell r="D4948">
            <v>41982</v>
          </cell>
          <cell r="U4948">
            <v>0</v>
          </cell>
          <cell r="Z4948">
            <v>1</v>
          </cell>
        </row>
        <row r="4949">
          <cell r="D4949">
            <v>41982</v>
          </cell>
          <cell r="U4949">
            <v>0</v>
          </cell>
          <cell r="Z4949">
            <v>1</v>
          </cell>
        </row>
        <row r="4950">
          <cell r="D4950">
            <v>41982</v>
          </cell>
          <cell r="U4950">
            <v>0</v>
          </cell>
          <cell r="Z4950">
            <v>1</v>
          </cell>
        </row>
        <row r="4951">
          <cell r="D4951">
            <v>41983</v>
          </cell>
          <cell r="U4951">
            <v>0</v>
          </cell>
          <cell r="Z4951">
            <v>1</v>
          </cell>
        </row>
        <row r="4952">
          <cell r="D4952">
            <v>41983</v>
          </cell>
          <cell r="U4952">
            <v>2</v>
          </cell>
          <cell r="Z4952">
            <v>0</v>
          </cell>
        </row>
        <row r="4953">
          <cell r="D4953">
            <v>41983</v>
          </cell>
          <cell r="U4953">
            <v>2</v>
          </cell>
          <cell r="Z4953">
            <v>0</v>
          </cell>
        </row>
        <row r="4954">
          <cell r="D4954">
            <v>41983</v>
          </cell>
          <cell r="U4954">
            <v>0</v>
          </cell>
          <cell r="Z4954">
            <v>1</v>
          </cell>
        </row>
        <row r="4955">
          <cell r="D4955">
            <v>41983</v>
          </cell>
          <cell r="U4955">
            <v>0</v>
          </cell>
          <cell r="Z4955">
            <v>1</v>
          </cell>
        </row>
        <row r="4956">
          <cell r="D4956">
            <v>41983</v>
          </cell>
          <cell r="U4956">
            <v>0</v>
          </cell>
          <cell r="Z4956">
            <v>1</v>
          </cell>
        </row>
        <row r="4957">
          <cell r="D4957">
            <v>41983</v>
          </cell>
          <cell r="U4957">
            <v>0</v>
          </cell>
          <cell r="Z4957">
            <v>1</v>
          </cell>
        </row>
        <row r="4958">
          <cell r="D4958">
            <v>41983</v>
          </cell>
          <cell r="U4958">
            <v>1</v>
          </cell>
          <cell r="Z4958">
            <v>0</v>
          </cell>
        </row>
        <row r="4959">
          <cell r="D4959">
            <v>41983</v>
          </cell>
          <cell r="U4959">
            <v>1</v>
          </cell>
          <cell r="Z4959">
            <v>0</v>
          </cell>
        </row>
        <row r="4960">
          <cell r="D4960">
            <v>41983</v>
          </cell>
          <cell r="U4960">
            <v>1</v>
          </cell>
          <cell r="Z4960">
            <v>0</v>
          </cell>
        </row>
        <row r="4961">
          <cell r="D4961">
            <v>41983</v>
          </cell>
          <cell r="U4961">
            <v>0</v>
          </cell>
          <cell r="Z4961">
            <v>1</v>
          </cell>
        </row>
        <row r="4962">
          <cell r="D4962">
            <v>41983</v>
          </cell>
          <cell r="U4962">
            <v>3</v>
          </cell>
          <cell r="Z4962">
            <v>0</v>
          </cell>
        </row>
        <row r="4963">
          <cell r="D4963">
            <v>41984</v>
          </cell>
          <cell r="U4963">
            <v>2</v>
          </cell>
          <cell r="Z4963">
            <v>0</v>
          </cell>
        </row>
        <row r="4964">
          <cell r="D4964">
            <v>41984</v>
          </cell>
          <cell r="U4964">
            <v>0</v>
          </cell>
          <cell r="Z4964">
            <v>1</v>
          </cell>
        </row>
        <row r="4965">
          <cell r="D4965">
            <v>41984</v>
          </cell>
          <cell r="U4965">
            <v>0</v>
          </cell>
          <cell r="Z4965">
            <v>1</v>
          </cell>
        </row>
        <row r="4966">
          <cell r="D4966">
            <v>41984</v>
          </cell>
          <cell r="U4966">
            <v>0</v>
          </cell>
          <cell r="Z4966">
            <v>1</v>
          </cell>
        </row>
        <row r="4967">
          <cell r="D4967">
            <v>41984</v>
          </cell>
          <cell r="U4967">
            <v>0</v>
          </cell>
          <cell r="Z4967">
            <v>1</v>
          </cell>
        </row>
        <row r="4968">
          <cell r="D4968">
            <v>41984</v>
          </cell>
          <cell r="U4968">
            <v>1</v>
          </cell>
          <cell r="Z4968">
            <v>0</v>
          </cell>
        </row>
        <row r="4969">
          <cell r="D4969">
            <v>41984</v>
          </cell>
          <cell r="U4969">
            <v>0</v>
          </cell>
          <cell r="Z4969">
            <v>1</v>
          </cell>
        </row>
        <row r="4970">
          <cell r="D4970">
            <v>41984</v>
          </cell>
          <cell r="U4970">
            <v>0</v>
          </cell>
          <cell r="Z4970">
            <v>1</v>
          </cell>
        </row>
        <row r="4971">
          <cell r="D4971">
            <v>41985</v>
          </cell>
          <cell r="U4971">
            <v>0</v>
          </cell>
          <cell r="Z4971">
            <v>1</v>
          </cell>
        </row>
        <row r="4972">
          <cell r="D4972">
            <v>41985</v>
          </cell>
          <cell r="U4972">
            <v>0</v>
          </cell>
          <cell r="Z4972">
            <v>1</v>
          </cell>
        </row>
        <row r="4973">
          <cell r="D4973">
            <v>41985</v>
          </cell>
          <cell r="U4973">
            <v>0</v>
          </cell>
          <cell r="Z4973">
            <v>0</v>
          </cell>
        </row>
        <row r="4974">
          <cell r="D4974">
            <v>41985</v>
          </cell>
          <cell r="U4974">
            <v>0</v>
          </cell>
          <cell r="Z4974">
            <v>1</v>
          </cell>
        </row>
        <row r="4975">
          <cell r="D4975">
            <v>41985</v>
          </cell>
          <cell r="U4975">
            <v>0</v>
          </cell>
          <cell r="Z4975">
            <v>1</v>
          </cell>
        </row>
        <row r="4976">
          <cell r="D4976">
            <v>41985</v>
          </cell>
          <cell r="U4976">
            <v>3</v>
          </cell>
          <cell r="Z4976">
            <v>0</v>
          </cell>
        </row>
        <row r="4977">
          <cell r="D4977">
            <v>41985</v>
          </cell>
          <cell r="U4977">
            <v>0</v>
          </cell>
          <cell r="Z4977">
            <v>1</v>
          </cell>
        </row>
        <row r="4978">
          <cell r="D4978">
            <v>41985</v>
          </cell>
          <cell r="U4978">
            <v>3</v>
          </cell>
          <cell r="Z4978">
            <v>0</v>
          </cell>
        </row>
        <row r="4979">
          <cell r="D4979">
            <v>41986</v>
          </cell>
          <cell r="U4979">
            <v>0</v>
          </cell>
          <cell r="Z4979">
            <v>1</v>
          </cell>
        </row>
        <row r="4980">
          <cell r="D4980">
            <v>41986</v>
          </cell>
          <cell r="U4980">
            <v>0</v>
          </cell>
          <cell r="Z4980">
            <v>1</v>
          </cell>
        </row>
        <row r="4981">
          <cell r="D4981">
            <v>41986</v>
          </cell>
          <cell r="U4981">
            <v>0</v>
          </cell>
          <cell r="Z4981">
            <v>0</v>
          </cell>
        </row>
        <row r="4982">
          <cell r="D4982">
            <v>41986</v>
          </cell>
          <cell r="U4982">
            <v>0</v>
          </cell>
          <cell r="Z4982">
            <v>1</v>
          </cell>
        </row>
        <row r="4983">
          <cell r="D4983">
            <v>41986</v>
          </cell>
          <cell r="U4983">
            <v>0</v>
          </cell>
          <cell r="Z4983">
            <v>1</v>
          </cell>
        </row>
        <row r="4984">
          <cell r="D4984">
            <v>41986</v>
          </cell>
          <cell r="U4984">
            <v>0</v>
          </cell>
          <cell r="Z4984">
            <v>1</v>
          </cell>
        </row>
        <row r="4985">
          <cell r="D4985">
            <v>41986</v>
          </cell>
          <cell r="U4985">
            <v>1</v>
          </cell>
          <cell r="Z4985">
            <v>0</v>
          </cell>
        </row>
        <row r="4986">
          <cell r="D4986">
            <v>41986</v>
          </cell>
          <cell r="U4986">
            <v>0</v>
          </cell>
          <cell r="Z4986">
            <v>1</v>
          </cell>
        </row>
        <row r="4987">
          <cell r="D4987">
            <v>41986</v>
          </cell>
          <cell r="U4987">
            <v>2</v>
          </cell>
          <cell r="Z4987">
            <v>0</v>
          </cell>
        </row>
        <row r="4988">
          <cell r="D4988">
            <v>41986</v>
          </cell>
          <cell r="U4988">
            <v>0</v>
          </cell>
          <cell r="Z4988">
            <v>1</v>
          </cell>
        </row>
        <row r="4989">
          <cell r="D4989">
            <v>41986</v>
          </cell>
          <cell r="U4989">
            <v>3</v>
          </cell>
          <cell r="Z4989">
            <v>0</v>
          </cell>
        </row>
        <row r="4990">
          <cell r="D4990">
            <v>41986</v>
          </cell>
          <cell r="U4990">
            <v>0</v>
          </cell>
          <cell r="Z4990">
            <v>1</v>
          </cell>
        </row>
        <row r="4991">
          <cell r="D4991">
            <v>41986</v>
          </cell>
          <cell r="U4991">
            <v>0</v>
          </cell>
          <cell r="Z4991">
            <v>1</v>
          </cell>
        </row>
        <row r="4992">
          <cell r="D4992">
            <v>41986</v>
          </cell>
          <cell r="U4992">
            <v>1</v>
          </cell>
          <cell r="Z4992">
            <v>0</v>
          </cell>
        </row>
        <row r="4993">
          <cell r="D4993">
            <v>41986</v>
          </cell>
          <cell r="U4993">
            <v>0</v>
          </cell>
          <cell r="Z4993">
            <v>1</v>
          </cell>
        </row>
        <row r="4994">
          <cell r="D4994">
            <v>41986</v>
          </cell>
          <cell r="U4994">
            <v>0</v>
          </cell>
          <cell r="Z4994">
            <v>0</v>
          </cell>
        </row>
        <row r="4995">
          <cell r="D4995">
            <v>41986</v>
          </cell>
          <cell r="U4995">
            <v>0</v>
          </cell>
          <cell r="Z4995">
            <v>0</v>
          </cell>
        </row>
        <row r="4996">
          <cell r="D4996">
            <v>41986</v>
          </cell>
          <cell r="U4996">
            <v>1</v>
          </cell>
          <cell r="Z4996">
            <v>0</v>
          </cell>
        </row>
        <row r="4997">
          <cell r="D4997">
            <v>41986</v>
          </cell>
          <cell r="U4997">
            <v>0</v>
          </cell>
          <cell r="Z4997">
            <v>1</v>
          </cell>
        </row>
        <row r="4998">
          <cell r="D4998">
            <v>41986</v>
          </cell>
          <cell r="U4998">
            <v>0</v>
          </cell>
          <cell r="Z4998">
            <v>1</v>
          </cell>
        </row>
        <row r="4999">
          <cell r="D4999">
            <v>41986</v>
          </cell>
          <cell r="U4999">
            <v>3</v>
          </cell>
          <cell r="Z4999">
            <v>0</v>
          </cell>
        </row>
        <row r="5000">
          <cell r="D5000">
            <v>41986</v>
          </cell>
          <cell r="U5000">
            <v>0</v>
          </cell>
          <cell r="Z5000">
            <v>1</v>
          </cell>
        </row>
        <row r="5001">
          <cell r="D5001">
            <v>41987</v>
          </cell>
          <cell r="U5001">
            <v>2</v>
          </cell>
          <cell r="Z5001">
            <v>0</v>
          </cell>
        </row>
        <row r="5002">
          <cell r="D5002">
            <v>41987</v>
          </cell>
          <cell r="U5002">
            <v>0</v>
          </cell>
          <cell r="Z5002">
            <v>1</v>
          </cell>
        </row>
        <row r="5003">
          <cell r="D5003">
            <v>41987</v>
          </cell>
          <cell r="U5003">
            <v>0</v>
          </cell>
          <cell r="Z5003">
            <v>1</v>
          </cell>
        </row>
        <row r="5004">
          <cell r="D5004">
            <v>41987</v>
          </cell>
          <cell r="U5004">
            <v>0</v>
          </cell>
          <cell r="Z5004">
            <v>0</v>
          </cell>
        </row>
        <row r="5005">
          <cell r="D5005">
            <v>41987</v>
          </cell>
          <cell r="U5005">
            <v>2</v>
          </cell>
          <cell r="Z5005">
            <v>0</v>
          </cell>
        </row>
        <row r="5006">
          <cell r="D5006">
            <v>41987</v>
          </cell>
          <cell r="U5006">
            <v>0</v>
          </cell>
          <cell r="Z5006">
            <v>1</v>
          </cell>
        </row>
        <row r="5007">
          <cell r="D5007">
            <v>41987</v>
          </cell>
          <cell r="U5007">
            <v>0</v>
          </cell>
          <cell r="Z5007">
            <v>1</v>
          </cell>
        </row>
        <row r="5008">
          <cell r="D5008">
            <v>41987</v>
          </cell>
          <cell r="U5008">
            <v>3</v>
          </cell>
          <cell r="Z5008">
            <v>0</v>
          </cell>
        </row>
        <row r="5009">
          <cell r="D5009">
            <v>41987</v>
          </cell>
          <cell r="U5009">
            <v>0</v>
          </cell>
          <cell r="Z5009">
            <v>1</v>
          </cell>
        </row>
        <row r="5010">
          <cell r="D5010">
            <v>41987</v>
          </cell>
          <cell r="U5010">
            <v>0</v>
          </cell>
          <cell r="Z5010">
            <v>1</v>
          </cell>
        </row>
        <row r="5011">
          <cell r="D5011">
            <v>41988</v>
          </cell>
          <cell r="U5011">
            <v>3</v>
          </cell>
          <cell r="Z5011">
            <v>0</v>
          </cell>
        </row>
        <row r="5012">
          <cell r="D5012">
            <v>41988</v>
          </cell>
          <cell r="U5012">
            <v>1</v>
          </cell>
          <cell r="Z5012">
            <v>0</v>
          </cell>
        </row>
        <row r="5013">
          <cell r="D5013">
            <v>41988</v>
          </cell>
          <cell r="U5013">
            <v>2</v>
          </cell>
          <cell r="Z5013">
            <v>0</v>
          </cell>
        </row>
        <row r="5014">
          <cell r="D5014">
            <v>41988</v>
          </cell>
          <cell r="U5014">
            <v>0</v>
          </cell>
          <cell r="Z5014">
            <v>1</v>
          </cell>
        </row>
        <row r="5015">
          <cell r="D5015">
            <v>41988</v>
          </cell>
          <cell r="U5015">
            <v>2</v>
          </cell>
          <cell r="Z5015">
            <v>0</v>
          </cell>
        </row>
        <row r="5016">
          <cell r="D5016">
            <v>41988</v>
          </cell>
          <cell r="U5016">
            <v>3</v>
          </cell>
          <cell r="Z5016">
            <v>0</v>
          </cell>
        </row>
        <row r="5017">
          <cell r="D5017">
            <v>41988</v>
          </cell>
          <cell r="U5017">
            <v>2</v>
          </cell>
          <cell r="Z5017">
            <v>0</v>
          </cell>
        </row>
        <row r="5018">
          <cell r="D5018">
            <v>41988</v>
          </cell>
          <cell r="U5018">
            <v>0</v>
          </cell>
          <cell r="Z5018">
            <v>1</v>
          </cell>
        </row>
        <row r="5019">
          <cell r="D5019">
            <v>41988</v>
          </cell>
          <cell r="U5019">
            <v>0</v>
          </cell>
          <cell r="Z5019">
            <v>1</v>
          </cell>
        </row>
        <row r="5020">
          <cell r="D5020">
            <v>41988</v>
          </cell>
          <cell r="U5020">
            <v>3</v>
          </cell>
          <cell r="Z5020">
            <v>0</v>
          </cell>
        </row>
        <row r="5021">
          <cell r="D5021">
            <v>41988</v>
          </cell>
          <cell r="U5021">
            <v>0</v>
          </cell>
          <cell r="Z5021">
            <v>1</v>
          </cell>
        </row>
        <row r="5022">
          <cell r="D5022">
            <v>41988</v>
          </cell>
          <cell r="U5022">
            <v>0</v>
          </cell>
          <cell r="Z5022">
            <v>1</v>
          </cell>
        </row>
        <row r="5023">
          <cell r="D5023">
            <v>41989</v>
          </cell>
          <cell r="U5023">
            <v>3</v>
          </cell>
          <cell r="Z5023">
            <v>0</v>
          </cell>
        </row>
        <row r="5024">
          <cell r="D5024">
            <v>41989</v>
          </cell>
          <cell r="U5024">
            <v>3</v>
          </cell>
          <cell r="Z5024">
            <v>0</v>
          </cell>
        </row>
        <row r="5025">
          <cell r="D5025">
            <v>41989</v>
          </cell>
          <cell r="U5025">
            <v>2</v>
          </cell>
          <cell r="Z5025">
            <v>0</v>
          </cell>
        </row>
        <row r="5026">
          <cell r="D5026">
            <v>41989</v>
          </cell>
          <cell r="U5026">
            <v>0</v>
          </cell>
          <cell r="Z5026">
            <v>1</v>
          </cell>
        </row>
        <row r="5027">
          <cell r="D5027">
            <v>41989</v>
          </cell>
          <cell r="U5027">
            <v>0</v>
          </cell>
          <cell r="Z5027">
            <v>1</v>
          </cell>
        </row>
        <row r="5028">
          <cell r="D5028">
            <v>41989</v>
          </cell>
          <cell r="U5028">
            <v>0</v>
          </cell>
          <cell r="Z5028">
            <v>1</v>
          </cell>
        </row>
        <row r="5029">
          <cell r="D5029">
            <v>41989</v>
          </cell>
          <cell r="U5029">
            <v>2</v>
          </cell>
          <cell r="Z5029">
            <v>0</v>
          </cell>
        </row>
        <row r="5030">
          <cell r="D5030">
            <v>41989</v>
          </cell>
          <cell r="U5030">
            <v>1</v>
          </cell>
          <cell r="Z5030">
            <v>0</v>
          </cell>
        </row>
        <row r="5031">
          <cell r="D5031">
            <v>41989</v>
          </cell>
          <cell r="U5031">
            <v>2</v>
          </cell>
          <cell r="Z5031">
            <v>0</v>
          </cell>
        </row>
        <row r="5032">
          <cell r="D5032">
            <v>41989</v>
          </cell>
          <cell r="U5032">
            <v>0</v>
          </cell>
          <cell r="Z5032">
            <v>0</v>
          </cell>
        </row>
        <row r="5033">
          <cell r="D5033">
            <v>41989</v>
          </cell>
          <cell r="U5033">
            <v>0</v>
          </cell>
          <cell r="Z5033">
            <v>1</v>
          </cell>
        </row>
        <row r="5034">
          <cell r="D5034">
            <v>41989</v>
          </cell>
          <cell r="U5034">
            <v>1</v>
          </cell>
          <cell r="Z5034">
            <v>0</v>
          </cell>
        </row>
        <row r="5035">
          <cell r="D5035">
            <v>41989</v>
          </cell>
          <cell r="U5035">
            <v>0</v>
          </cell>
          <cell r="Z5035">
            <v>1</v>
          </cell>
        </row>
        <row r="5036">
          <cell r="D5036">
            <v>41989</v>
          </cell>
          <cell r="U5036">
            <v>3</v>
          </cell>
          <cell r="Z5036">
            <v>0</v>
          </cell>
        </row>
        <row r="5037">
          <cell r="D5037">
            <v>41989</v>
          </cell>
          <cell r="U5037">
            <v>0</v>
          </cell>
          <cell r="Z5037">
            <v>1</v>
          </cell>
        </row>
        <row r="5038">
          <cell r="D5038">
            <v>41989</v>
          </cell>
          <cell r="U5038">
            <v>3</v>
          </cell>
          <cell r="Z5038">
            <v>0</v>
          </cell>
        </row>
        <row r="5039">
          <cell r="D5039">
            <v>41989</v>
          </cell>
          <cell r="U5039">
            <v>3</v>
          </cell>
          <cell r="Z5039">
            <v>0</v>
          </cell>
        </row>
        <row r="5040">
          <cell r="D5040">
            <v>41989</v>
          </cell>
          <cell r="U5040">
            <v>0</v>
          </cell>
          <cell r="Z5040">
            <v>1</v>
          </cell>
        </row>
        <row r="5041">
          <cell r="D5041">
            <v>41989</v>
          </cell>
          <cell r="U5041">
            <v>2</v>
          </cell>
          <cell r="Z5041">
            <v>0</v>
          </cell>
        </row>
        <row r="5042">
          <cell r="D5042">
            <v>41989</v>
          </cell>
          <cell r="U5042">
            <v>1</v>
          </cell>
          <cell r="Z5042">
            <v>0</v>
          </cell>
        </row>
        <row r="5043">
          <cell r="D5043">
            <v>41990</v>
          </cell>
          <cell r="U5043">
            <v>2</v>
          </cell>
          <cell r="Z5043">
            <v>0</v>
          </cell>
        </row>
        <row r="5044">
          <cell r="D5044">
            <v>41990</v>
          </cell>
          <cell r="U5044">
            <v>1</v>
          </cell>
          <cell r="Z5044">
            <v>0</v>
          </cell>
        </row>
        <row r="5045">
          <cell r="D5045">
            <v>41990</v>
          </cell>
          <cell r="U5045">
            <v>1</v>
          </cell>
          <cell r="Z5045">
            <v>0</v>
          </cell>
        </row>
        <row r="5046">
          <cell r="D5046">
            <v>41990</v>
          </cell>
          <cell r="U5046">
            <v>0</v>
          </cell>
          <cell r="Z5046">
            <v>1</v>
          </cell>
        </row>
        <row r="5047">
          <cell r="D5047">
            <v>41990</v>
          </cell>
          <cell r="U5047">
            <v>0</v>
          </cell>
          <cell r="Z5047">
            <v>1</v>
          </cell>
        </row>
        <row r="5048">
          <cell r="D5048">
            <v>41990</v>
          </cell>
          <cell r="U5048">
            <v>0</v>
          </cell>
          <cell r="Z5048">
            <v>1</v>
          </cell>
        </row>
        <row r="5049">
          <cell r="D5049">
            <v>41990</v>
          </cell>
          <cell r="U5049">
            <v>0</v>
          </cell>
          <cell r="Z5049">
            <v>0</v>
          </cell>
        </row>
        <row r="5050">
          <cell r="D5050">
            <v>41990</v>
          </cell>
          <cell r="U5050">
            <v>3</v>
          </cell>
          <cell r="Z5050">
            <v>0</v>
          </cell>
        </row>
        <row r="5051">
          <cell r="D5051">
            <v>41990</v>
          </cell>
          <cell r="U5051">
            <v>3</v>
          </cell>
          <cell r="Z5051">
            <v>0</v>
          </cell>
        </row>
        <row r="5052">
          <cell r="D5052">
            <v>41990</v>
          </cell>
          <cell r="U5052">
            <v>3</v>
          </cell>
          <cell r="Z5052">
            <v>0</v>
          </cell>
        </row>
        <row r="5053">
          <cell r="D5053">
            <v>41990</v>
          </cell>
          <cell r="U5053">
            <v>3</v>
          </cell>
          <cell r="Z5053">
            <v>0</v>
          </cell>
        </row>
        <row r="5054">
          <cell r="D5054">
            <v>41990</v>
          </cell>
          <cell r="U5054">
            <v>0</v>
          </cell>
          <cell r="Z5054">
            <v>1</v>
          </cell>
        </row>
        <row r="5055">
          <cell r="D5055">
            <v>41991</v>
          </cell>
          <cell r="U5055">
            <v>0</v>
          </cell>
          <cell r="Z5055">
            <v>1</v>
          </cell>
        </row>
        <row r="5056">
          <cell r="D5056">
            <v>41991</v>
          </cell>
          <cell r="U5056">
            <v>0</v>
          </cell>
          <cell r="Z5056">
            <v>1</v>
          </cell>
        </row>
        <row r="5057">
          <cell r="D5057">
            <v>41991</v>
          </cell>
          <cell r="U5057">
            <v>3</v>
          </cell>
          <cell r="Z5057">
            <v>0</v>
          </cell>
        </row>
        <row r="5058">
          <cell r="D5058">
            <v>41991</v>
          </cell>
          <cell r="U5058">
            <v>0</v>
          </cell>
          <cell r="Z5058">
            <v>1</v>
          </cell>
        </row>
        <row r="5059">
          <cell r="D5059">
            <v>41991</v>
          </cell>
          <cell r="U5059">
            <v>2</v>
          </cell>
          <cell r="Z5059">
            <v>0</v>
          </cell>
        </row>
        <row r="5060">
          <cell r="D5060">
            <v>41991</v>
          </cell>
          <cell r="U5060">
            <v>0</v>
          </cell>
          <cell r="Z5060">
            <v>1</v>
          </cell>
        </row>
        <row r="5061">
          <cell r="D5061">
            <v>41991</v>
          </cell>
          <cell r="U5061">
            <v>3</v>
          </cell>
          <cell r="Z5061">
            <v>0</v>
          </cell>
        </row>
        <row r="5062">
          <cell r="D5062">
            <v>41991</v>
          </cell>
          <cell r="U5062">
            <v>0</v>
          </cell>
          <cell r="Z5062">
            <v>1</v>
          </cell>
        </row>
        <row r="5063">
          <cell r="D5063">
            <v>41991</v>
          </cell>
          <cell r="U5063">
            <v>3</v>
          </cell>
          <cell r="Z5063">
            <v>0</v>
          </cell>
        </row>
        <row r="5064">
          <cell r="D5064">
            <v>41991</v>
          </cell>
          <cell r="U5064">
            <v>0</v>
          </cell>
          <cell r="Z5064">
            <v>1</v>
          </cell>
        </row>
        <row r="5065">
          <cell r="D5065">
            <v>41991</v>
          </cell>
          <cell r="U5065">
            <v>0</v>
          </cell>
          <cell r="Z5065">
            <v>1</v>
          </cell>
        </row>
        <row r="5066">
          <cell r="D5066">
            <v>41991</v>
          </cell>
          <cell r="U5066">
            <v>0</v>
          </cell>
          <cell r="Z5066">
            <v>1</v>
          </cell>
        </row>
        <row r="5067">
          <cell r="D5067">
            <v>41991</v>
          </cell>
          <cell r="U5067">
            <v>0</v>
          </cell>
          <cell r="Z5067">
            <v>1</v>
          </cell>
        </row>
        <row r="5068">
          <cell r="D5068">
            <v>41991</v>
          </cell>
          <cell r="U5068">
            <v>3</v>
          </cell>
          <cell r="Z5068">
            <v>0</v>
          </cell>
        </row>
        <row r="5069">
          <cell r="D5069">
            <v>41992</v>
          </cell>
          <cell r="U5069">
            <v>3</v>
          </cell>
          <cell r="Z5069">
            <v>0</v>
          </cell>
        </row>
        <row r="5070">
          <cell r="D5070">
            <v>41992</v>
          </cell>
          <cell r="U5070">
            <v>2</v>
          </cell>
          <cell r="Z5070">
            <v>0</v>
          </cell>
        </row>
        <row r="5071">
          <cell r="D5071">
            <v>41992</v>
          </cell>
          <cell r="U5071">
            <v>2</v>
          </cell>
          <cell r="Z5071">
            <v>0</v>
          </cell>
        </row>
        <row r="5072">
          <cell r="D5072">
            <v>41992</v>
          </cell>
          <cell r="U5072">
            <v>2</v>
          </cell>
          <cell r="Z5072">
            <v>0</v>
          </cell>
        </row>
        <row r="5073">
          <cell r="D5073">
            <v>41992</v>
          </cell>
          <cell r="U5073">
            <v>0</v>
          </cell>
          <cell r="Z5073">
            <v>1</v>
          </cell>
        </row>
        <row r="5074">
          <cell r="D5074">
            <v>41992</v>
          </cell>
          <cell r="U5074">
            <v>2</v>
          </cell>
          <cell r="Z5074">
            <v>0</v>
          </cell>
        </row>
        <row r="5075">
          <cell r="D5075">
            <v>41993</v>
          </cell>
          <cell r="U5075">
            <v>2</v>
          </cell>
          <cell r="Z5075">
            <v>0</v>
          </cell>
        </row>
        <row r="5076">
          <cell r="D5076">
            <v>41993</v>
          </cell>
          <cell r="U5076">
            <v>2</v>
          </cell>
          <cell r="Z5076">
            <v>0</v>
          </cell>
        </row>
        <row r="5077">
          <cell r="D5077">
            <v>41993</v>
          </cell>
          <cell r="U5077">
            <v>0</v>
          </cell>
          <cell r="Z5077">
            <v>1</v>
          </cell>
        </row>
        <row r="5078">
          <cell r="D5078">
            <v>41993</v>
          </cell>
          <cell r="U5078">
            <v>0</v>
          </cell>
          <cell r="Z5078">
            <v>1</v>
          </cell>
        </row>
        <row r="5079">
          <cell r="D5079">
            <v>41993</v>
          </cell>
          <cell r="U5079">
            <v>2</v>
          </cell>
          <cell r="Z5079">
            <v>0</v>
          </cell>
        </row>
        <row r="5080">
          <cell r="D5080">
            <v>41993</v>
          </cell>
          <cell r="U5080">
            <v>3</v>
          </cell>
          <cell r="Z5080">
            <v>0</v>
          </cell>
        </row>
        <row r="5081">
          <cell r="D5081">
            <v>41993</v>
          </cell>
          <cell r="U5081">
            <v>0</v>
          </cell>
          <cell r="Z5081">
            <v>1</v>
          </cell>
        </row>
        <row r="5082">
          <cell r="D5082">
            <v>41993</v>
          </cell>
          <cell r="U5082">
            <v>0</v>
          </cell>
          <cell r="Z5082">
            <v>1</v>
          </cell>
        </row>
        <row r="5083">
          <cell r="D5083">
            <v>41993</v>
          </cell>
          <cell r="U5083">
            <v>0</v>
          </cell>
          <cell r="Z5083">
            <v>1</v>
          </cell>
        </row>
        <row r="5084">
          <cell r="D5084">
            <v>41993</v>
          </cell>
          <cell r="U5084">
            <v>3</v>
          </cell>
          <cell r="Z5084">
            <v>0</v>
          </cell>
        </row>
        <row r="5085">
          <cell r="D5085">
            <v>41993</v>
          </cell>
          <cell r="U5085">
            <v>0</v>
          </cell>
          <cell r="Z5085">
            <v>1</v>
          </cell>
        </row>
        <row r="5086">
          <cell r="D5086">
            <v>41993</v>
          </cell>
          <cell r="U5086">
            <v>0</v>
          </cell>
          <cell r="Z5086">
            <v>1</v>
          </cell>
        </row>
        <row r="5087">
          <cell r="D5087">
            <v>41993</v>
          </cell>
          <cell r="U5087">
            <v>0</v>
          </cell>
          <cell r="Z5087">
            <v>1</v>
          </cell>
        </row>
        <row r="5088">
          <cell r="D5088">
            <v>41993</v>
          </cell>
          <cell r="U5088">
            <v>0</v>
          </cell>
          <cell r="Z5088">
            <v>1</v>
          </cell>
        </row>
        <row r="5089">
          <cell r="D5089">
            <v>41993</v>
          </cell>
          <cell r="U5089">
            <v>0</v>
          </cell>
          <cell r="Z5089">
            <v>0</v>
          </cell>
        </row>
        <row r="5090">
          <cell r="D5090">
            <v>41993</v>
          </cell>
          <cell r="U5090">
            <v>1</v>
          </cell>
          <cell r="Z5090">
            <v>0</v>
          </cell>
        </row>
        <row r="5091">
          <cell r="D5091">
            <v>41993</v>
          </cell>
          <cell r="U5091">
            <v>2</v>
          </cell>
          <cell r="Z5091">
            <v>0</v>
          </cell>
        </row>
        <row r="5092">
          <cell r="D5092">
            <v>41993</v>
          </cell>
          <cell r="U5092">
            <v>3</v>
          </cell>
          <cell r="Z5092">
            <v>0</v>
          </cell>
        </row>
        <row r="5093">
          <cell r="D5093">
            <v>41994</v>
          </cell>
          <cell r="U5093">
            <v>3</v>
          </cell>
          <cell r="Z5093">
            <v>0</v>
          </cell>
        </row>
        <row r="5094">
          <cell r="D5094">
            <v>41994</v>
          </cell>
          <cell r="U5094">
            <v>3</v>
          </cell>
          <cell r="Z5094">
            <v>0</v>
          </cell>
        </row>
        <row r="5095">
          <cell r="D5095">
            <v>41994</v>
          </cell>
          <cell r="U5095">
            <v>2</v>
          </cell>
          <cell r="Z5095">
            <v>0</v>
          </cell>
        </row>
        <row r="5096">
          <cell r="D5096">
            <v>41994</v>
          </cell>
          <cell r="U5096">
            <v>3</v>
          </cell>
          <cell r="Z5096">
            <v>0</v>
          </cell>
        </row>
        <row r="5097">
          <cell r="D5097">
            <v>41994</v>
          </cell>
          <cell r="U5097">
            <v>3</v>
          </cell>
          <cell r="Z5097">
            <v>0</v>
          </cell>
        </row>
        <row r="5098">
          <cell r="D5098">
            <v>41994</v>
          </cell>
          <cell r="U5098">
            <v>0</v>
          </cell>
          <cell r="Z5098">
            <v>0</v>
          </cell>
        </row>
        <row r="5099">
          <cell r="D5099">
            <v>41994</v>
          </cell>
          <cell r="U5099">
            <v>0</v>
          </cell>
          <cell r="Z5099">
            <v>0</v>
          </cell>
        </row>
        <row r="5100">
          <cell r="D5100">
            <v>41994</v>
          </cell>
          <cell r="U5100">
            <v>0</v>
          </cell>
          <cell r="Z5100">
            <v>1</v>
          </cell>
        </row>
        <row r="5101">
          <cell r="D5101">
            <v>41994</v>
          </cell>
          <cell r="U5101">
            <v>0</v>
          </cell>
          <cell r="Z5101">
            <v>1</v>
          </cell>
        </row>
        <row r="5102">
          <cell r="D5102">
            <v>41994</v>
          </cell>
          <cell r="U5102">
            <v>0</v>
          </cell>
          <cell r="Z5102">
            <v>1</v>
          </cell>
        </row>
        <row r="5103">
          <cell r="D5103">
            <v>41994</v>
          </cell>
          <cell r="U5103">
            <v>3</v>
          </cell>
          <cell r="Z5103">
            <v>0</v>
          </cell>
        </row>
        <row r="5104">
          <cell r="D5104">
            <v>41994</v>
          </cell>
          <cell r="U5104">
            <v>0</v>
          </cell>
          <cell r="Z5104">
            <v>1</v>
          </cell>
        </row>
        <row r="5105">
          <cell r="D5105">
            <v>41994</v>
          </cell>
          <cell r="U5105">
            <v>2</v>
          </cell>
          <cell r="Z5105">
            <v>0</v>
          </cell>
        </row>
        <row r="5106">
          <cell r="D5106">
            <v>41994</v>
          </cell>
          <cell r="U5106">
            <v>0</v>
          </cell>
          <cell r="Z5106">
            <v>1</v>
          </cell>
        </row>
        <row r="5107">
          <cell r="D5107">
            <v>41994</v>
          </cell>
          <cell r="U5107">
            <v>3</v>
          </cell>
          <cell r="Z5107">
            <v>0</v>
          </cell>
        </row>
        <row r="5108">
          <cell r="D5108">
            <v>41994</v>
          </cell>
          <cell r="U5108">
            <v>3</v>
          </cell>
          <cell r="Z5108">
            <v>0</v>
          </cell>
        </row>
        <row r="5109">
          <cell r="D5109">
            <v>41994</v>
          </cell>
          <cell r="U5109">
            <v>0</v>
          </cell>
          <cell r="Z5109">
            <v>1</v>
          </cell>
        </row>
        <row r="5110">
          <cell r="D5110">
            <v>41994</v>
          </cell>
          <cell r="U5110">
            <v>3</v>
          </cell>
          <cell r="Z5110">
            <v>0</v>
          </cell>
        </row>
        <row r="5111">
          <cell r="D5111">
            <v>41994</v>
          </cell>
          <cell r="U5111">
            <v>2</v>
          </cell>
          <cell r="Z5111">
            <v>0</v>
          </cell>
        </row>
        <row r="5112">
          <cell r="D5112">
            <v>41995</v>
          </cell>
          <cell r="U5112">
            <v>3</v>
          </cell>
          <cell r="Z5112">
            <v>0</v>
          </cell>
        </row>
        <row r="5113">
          <cell r="D5113">
            <v>41995</v>
          </cell>
          <cell r="U5113">
            <v>1</v>
          </cell>
          <cell r="Z5113">
            <v>0</v>
          </cell>
        </row>
        <row r="5114">
          <cell r="D5114">
            <v>41995</v>
          </cell>
          <cell r="U5114">
            <v>3</v>
          </cell>
          <cell r="Z5114">
            <v>0</v>
          </cell>
        </row>
        <row r="5115">
          <cell r="D5115">
            <v>41995</v>
          </cell>
          <cell r="U5115">
            <v>3</v>
          </cell>
          <cell r="Z5115">
            <v>0</v>
          </cell>
        </row>
        <row r="5116">
          <cell r="D5116">
            <v>41995</v>
          </cell>
          <cell r="U5116">
            <v>0</v>
          </cell>
          <cell r="Z5116">
            <v>1</v>
          </cell>
        </row>
        <row r="5117">
          <cell r="D5117">
            <v>41995</v>
          </cell>
          <cell r="U5117">
            <v>0</v>
          </cell>
          <cell r="Z5117">
            <v>1</v>
          </cell>
        </row>
        <row r="5118">
          <cell r="D5118">
            <v>41995</v>
          </cell>
          <cell r="U5118">
            <v>0</v>
          </cell>
          <cell r="Z5118">
            <v>1</v>
          </cell>
        </row>
        <row r="5119">
          <cell r="D5119">
            <v>41995</v>
          </cell>
          <cell r="U5119">
            <v>0</v>
          </cell>
          <cell r="Z5119">
            <v>1</v>
          </cell>
        </row>
        <row r="5120">
          <cell r="D5120">
            <v>41995</v>
          </cell>
          <cell r="U5120">
            <v>0</v>
          </cell>
          <cell r="Z5120">
            <v>1</v>
          </cell>
        </row>
        <row r="5121">
          <cell r="D5121">
            <v>41996</v>
          </cell>
          <cell r="U5121">
            <v>0</v>
          </cell>
          <cell r="Z5121">
            <v>1</v>
          </cell>
        </row>
        <row r="5122">
          <cell r="D5122">
            <v>41996</v>
          </cell>
          <cell r="U5122">
            <v>0</v>
          </cell>
          <cell r="Z5122">
            <v>1</v>
          </cell>
        </row>
        <row r="5123">
          <cell r="D5123">
            <v>41996</v>
          </cell>
          <cell r="U5123">
            <v>0</v>
          </cell>
          <cell r="Z5123">
            <v>1</v>
          </cell>
        </row>
        <row r="5124">
          <cell r="D5124">
            <v>41996</v>
          </cell>
          <cell r="U5124">
            <v>0</v>
          </cell>
          <cell r="Z5124">
            <v>1</v>
          </cell>
        </row>
        <row r="5125">
          <cell r="D5125">
            <v>41996</v>
          </cell>
          <cell r="U5125">
            <v>2</v>
          </cell>
          <cell r="Z5125">
            <v>0</v>
          </cell>
        </row>
        <row r="5126">
          <cell r="D5126">
            <v>41996</v>
          </cell>
          <cell r="U5126">
            <v>2</v>
          </cell>
          <cell r="Z5126">
            <v>0</v>
          </cell>
        </row>
        <row r="5127">
          <cell r="D5127">
            <v>41996</v>
          </cell>
          <cell r="U5127">
            <v>3</v>
          </cell>
          <cell r="Z5127">
            <v>0</v>
          </cell>
        </row>
        <row r="5128">
          <cell r="D5128">
            <v>41996</v>
          </cell>
          <cell r="U5128">
            <v>3</v>
          </cell>
          <cell r="Z5128">
            <v>0</v>
          </cell>
        </row>
        <row r="5129">
          <cell r="D5129">
            <v>41996</v>
          </cell>
          <cell r="U5129">
            <v>3</v>
          </cell>
          <cell r="Z5129">
            <v>0</v>
          </cell>
        </row>
        <row r="5130">
          <cell r="D5130">
            <v>41996</v>
          </cell>
          <cell r="U5130">
            <v>3</v>
          </cell>
          <cell r="Z5130">
            <v>0</v>
          </cell>
        </row>
        <row r="5131">
          <cell r="D5131">
            <v>41996</v>
          </cell>
          <cell r="U5131">
            <v>1</v>
          </cell>
          <cell r="Z5131">
            <v>0</v>
          </cell>
        </row>
        <row r="5132">
          <cell r="D5132">
            <v>41996</v>
          </cell>
          <cell r="U5132">
            <v>0</v>
          </cell>
          <cell r="Z5132">
            <v>1</v>
          </cell>
        </row>
        <row r="5133">
          <cell r="D5133">
            <v>41996</v>
          </cell>
          <cell r="U5133">
            <v>0</v>
          </cell>
          <cell r="Z5133">
            <v>1</v>
          </cell>
        </row>
        <row r="5134">
          <cell r="D5134">
            <v>41996</v>
          </cell>
          <cell r="U5134">
            <v>0</v>
          </cell>
          <cell r="Z5134">
            <v>1</v>
          </cell>
        </row>
        <row r="5135">
          <cell r="D5135">
            <v>41996</v>
          </cell>
          <cell r="U5135">
            <v>1</v>
          </cell>
          <cell r="Z5135">
            <v>0</v>
          </cell>
        </row>
        <row r="5136">
          <cell r="D5136">
            <v>41996</v>
          </cell>
          <cell r="U5136">
            <v>0</v>
          </cell>
          <cell r="Z5136">
            <v>1</v>
          </cell>
        </row>
        <row r="5137">
          <cell r="D5137">
            <v>41996</v>
          </cell>
          <cell r="U5137">
            <v>0</v>
          </cell>
          <cell r="Z5137">
            <v>0</v>
          </cell>
        </row>
        <row r="5138">
          <cell r="D5138">
            <v>41996</v>
          </cell>
          <cell r="U5138">
            <v>2</v>
          </cell>
          <cell r="Z5138">
            <v>0</v>
          </cell>
        </row>
        <row r="5139">
          <cell r="D5139">
            <v>41997</v>
          </cell>
          <cell r="U5139">
            <v>2</v>
          </cell>
          <cell r="Z5139">
            <v>0</v>
          </cell>
        </row>
        <row r="5140">
          <cell r="D5140">
            <v>41997</v>
          </cell>
          <cell r="U5140">
            <v>0</v>
          </cell>
          <cell r="Z5140">
            <v>0</v>
          </cell>
        </row>
        <row r="5141">
          <cell r="D5141">
            <v>41997</v>
          </cell>
          <cell r="U5141">
            <v>3</v>
          </cell>
          <cell r="Z5141">
            <v>0</v>
          </cell>
        </row>
        <row r="5142">
          <cell r="D5142">
            <v>41997</v>
          </cell>
          <cell r="U5142">
            <v>0</v>
          </cell>
          <cell r="Z5142">
            <v>1</v>
          </cell>
        </row>
        <row r="5143">
          <cell r="D5143">
            <v>41997</v>
          </cell>
          <cell r="U5143">
            <v>3</v>
          </cell>
          <cell r="Z5143">
            <v>0</v>
          </cell>
        </row>
        <row r="5144">
          <cell r="D5144">
            <v>41997</v>
          </cell>
          <cell r="U5144">
            <v>0</v>
          </cell>
          <cell r="Z5144">
            <v>0</v>
          </cell>
        </row>
        <row r="5145">
          <cell r="D5145">
            <v>41997</v>
          </cell>
          <cell r="U5145">
            <v>0</v>
          </cell>
          <cell r="Z5145">
            <v>1</v>
          </cell>
        </row>
        <row r="5146">
          <cell r="D5146">
            <v>41997</v>
          </cell>
          <cell r="U5146">
            <v>2</v>
          </cell>
          <cell r="Z5146">
            <v>0</v>
          </cell>
        </row>
        <row r="5147">
          <cell r="D5147">
            <v>41997</v>
          </cell>
          <cell r="U5147">
            <v>3</v>
          </cell>
          <cell r="Z5147">
            <v>0</v>
          </cell>
        </row>
        <row r="5148">
          <cell r="D5148">
            <v>41997</v>
          </cell>
          <cell r="U5148">
            <v>2</v>
          </cell>
          <cell r="Z5148">
            <v>0</v>
          </cell>
        </row>
        <row r="5149">
          <cell r="D5149">
            <v>41997</v>
          </cell>
          <cell r="U5149">
            <v>2</v>
          </cell>
          <cell r="Z5149">
            <v>0</v>
          </cell>
        </row>
        <row r="5150">
          <cell r="D5150">
            <v>41997</v>
          </cell>
          <cell r="U5150">
            <v>0</v>
          </cell>
          <cell r="Z5150">
            <v>1</v>
          </cell>
        </row>
        <row r="5151">
          <cell r="D5151">
            <v>41997</v>
          </cell>
          <cell r="U5151">
            <v>3</v>
          </cell>
          <cell r="Z5151">
            <v>0</v>
          </cell>
        </row>
        <row r="5152">
          <cell r="D5152">
            <v>41997</v>
          </cell>
          <cell r="U5152">
            <v>1</v>
          </cell>
          <cell r="Z5152">
            <v>0</v>
          </cell>
        </row>
        <row r="5153">
          <cell r="D5153">
            <v>41997</v>
          </cell>
          <cell r="U5153">
            <v>0</v>
          </cell>
          <cell r="Z5153">
            <v>1</v>
          </cell>
        </row>
        <row r="5154">
          <cell r="D5154">
            <v>41997</v>
          </cell>
          <cell r="U5154">
            <v>0</v>
          </cell>
          <cell r="Z5154">
            <v>1</v>
          </cell>
        </row>
        <row r="5155">
          <cell r="D5155">
            <v>41997</v>
          </cell>
          <cell r="U5155">
            <v>2</v>
          </cell>
          <cell r="Z5155">
            <v>0</v>
          </cell>
        </row>
        <row r="5156">
          <cell r="D5156">
            <v>41997</v>
          </cell>
          <cell r="U5156">
            <v>1</v>
          </cell>
          <cell r="Z5156">
            <v>0</v>
          </cell>
        </row>
        <row r="5157">
          <cell r="D5157">
            <v>41997</v>
          </cell>
          <cell r="U5157">
            <v>3</v>
          </cell>
          <cell r="Z5157">
            <v>0</v>
          </cell>
        </row>
        <row r="5158">
          <cell r="D5158">
            <v>41997</v>
          </cell>
          <cell r="U5158">
            <v>3</v>
          </cell>
          <cell r="Z5158">
            <v>0</v>
          </cell>
        </row>
        <row r="5159">
          <cell r="D5159">
            <v>41997</v>
          </cell>
          <cell r="U5159">
            <v>3</v>
          </cell>
          <cell r="Z5159">
            <v>0</v>
          </cell>
        </row>
        <row r="5160">
          <cell r="D5160">
            <v>41997</v>
          </cell>
          <cell r="U5160">
            <v>3</v>
          </cell>
          <cell r="Z5160">
            <v>0</v>
          </cell>
        </row>
        <row r="5161">
          <cell r="D5161">
            <v>41997</v>
          </cell>
          <cell r="U5161">
            <v>3</v>
          </cell>
          <cell r="Z5161">
            <v>0</v>
          </cell>
        </row>
        <row r="5162">
          <cell r="D5162">
            <v>41997</v>
          </cell>
          <cell r="U5162">
            <v>0</v>
          </cell>
          <cell r="Z5162">
            <v>0</v>
          </cell>
        </row>
        <row r="5163">
          <cell r="D5163">
            <v>41997</v>
          </cell>
          <cell r="U5163">
            <v>0</v>
          </cell>
          <cell r="Z5163">
            <v>1</v>
          </cell>
        </row>
        <row r="5164">
          <cell r="D5164">
            <v>41997</v>
          </cell>
          <cell r="U5164">
            <v>1</v>
          </cell>
          <cell r="Z5164">
            <v>0</v>
          </cell>
        </row>
        <row r="5165">
          <cell r="D5165">
            <v>41997</v>
          </cell>
          <cell r="U5165">
            <v>3</v>
          </cell>
          <cell r="Z5165">
            <v>0</v>
          </cell>
        </row>
        <row r="5166">
          <cell r="D5166">
            <v>41998</v>
          </cell>
          <cell r="U5166">
            <v>0</v>
          </cell>
          <cell r="Z5166">
            <v>1</v>
          </cell>
        </row>
        <row r="5167">
          <cell r="D5167">
            <v>41998</v>
          </cell>
          <cell r="U5167">
            <v>3</v>
          </cell>
          <cell r="Z5167">
            <v>0</v>
          </cell>
        </row>
        <row r="5168">
          <cell r="D5168">
            <v>41998</v>
          </cell>
          <cell r="U5168">
            <v>3</v>
          </cell>
          <cell r="Z5168">
            <v>0</v>
          </cell>
        </row>
        <row r="5169">
          <cell r="D5169">
            <v>41998</v>
          </cell>
          <cell r="U5169">
            <v>2</v>
          </cell>
          <cell r="Z5169">
            <v>0</v>
          </cell>
        </row>
        <row r="5170">
          <cell r="D5170">
            <v>41998</v>
          </cell>
          <cell r="U5170">
            <v>0</v>
          </cell>
          <cell r="Z5170">
            <v>1</v>
          </cell>
        </row>
        <row r="5171">
          <cell r="D5171">
            <v>41998</v>
          </cell>
          <cell r="U5171">
            <v>0</v>
          </cell>
          <cell r="Z5171">
            <v>0</v>
          </cell>
        </row>
        <row r="5172">
          <cell r="D5172">
            <v>41998</v>
          </cell>
          <cell r="U5172">
            <v>0</v>
          </cell>
          <cell r="Z5172">
            <v>0</v>
          </cell>
        </row>
        <row r="5173">
          <cell r="D5173">
            <v>41998</v>
          </cell>
          <cell r="U5173">
            <v>0</v>
          </cell>
          <cell r="Z5173">
            <v>1</v>
          </cell>
        </row>
        <row r="5174">
          <cell r="D5174">
            <v>41998</v>
          </cell>
          <cell r="U5174">
            <v>1</v>
          </cell>
          <cell r="Z5174">
            <v>0</v>
          </cell>
        </row>
        <row r="5175">
          <cell r="D5175">
            <v>41998</v>
          </cell>
          <cell r="U5175">
            <v>2</v>
          </cell>
          <cell r="Z5175">
            <v>0</v>
          </cell>
        </row>
        <row r="5176">
          <cell r="D5176">
            <v>41998</v>
          </cell>
          <cell r="U5176">
            <v>0</v>
          </cell>
          <cell r="Z5176">
            <v>0</v>
          </cell>
        </row>
        <row r="5177">
          <cell r="D5177">
            <v>41998</v>
          </cell>
          <cell r="U5177">
            <v>0</v>
          </cell>
          <cell r="Z5177">
            <v>1</v>
          </cell>
        </row>
        <row r="5178">
          <cell r="D5178">
            <v>41998</v>
          </cell>
          <cell r="U5178">
            <v>2</v>
          </cell>
          <cell r="Z5178">
            <v>0</v>
          </cell>
        </row>
        <row r="5179">
          <cell r="D5179">
            <v>41998</v>
          </cell>
          <cell r="U5179">
            <v>3</v>
          </cell>
          <cell r="Z5179">
            <v>0</v>
          </cell>
        </row>
        <row r="5180">
          <cell r="D5180">
            <v>41998</v>
          </cell>
          <cell r="U5180">
            <v>3</v>
          </cell>
          <cell r="Z5180">
            <v>0</v>
          </cell>
        </row>
        <row r="5181">
          <cell r="D5181">
            <v>41998</v>
          </cell>
          <cell r="U5181">
            <v>0</v>
          </cell>
          <cell r="Z5181">
            <v>1</v>
          </cell>
        </row>
        <row r="5182">
          <cell r="D5182">
            <v>41998</v>
          </cell>
          <cell r="U5182">
            <v>0</v>
          </cell>
          <cell r="Z5182">
            <v>1</v>
          </cell>
        </row>
        <row r="5183">
          <cell r="D5183">
            <v>41998</v>
          </cell>
          <cell r="U5183">
            <v>0</v>
          </cell>
          <cell r="Z5183">
            <v>1</v>
          </cell>
        </row>
        <row r="5184">
          <cell r="D5184">
            <v>41998</v>
          </cell>
          <cell r="U5184">
            <v>0</v>
          </cell>
          <cell r="Z5184">
            <v>1</v>
          </cell>
        </row>
        <row r="5185">
          <cell r="D5185">
            <v>41998</v>
          </cell>
          <cell r="U5185">
            <v>3</v>
          </cell>
          <cell r="Z5185">
            <v>0</v>
          </cell>
        </row>
        <row r="5186">
          <cell r="D5186">
            <v>41998</v>
          </cell>
          <cell r="U5186">
            <v>2</v>
          </cell>
          <cell r="Z5186">
            <v>0</v>
          </cell>
        </row>
        <row r="5187">
          <cell r="D5187">
            <v>41998</v>
          </cell>
          <cell r="U5187">
            <v>3</v>
          </cell>
          <cell r="Z5187">
            <v>0</v>
          </cell>
        </row>
        <row r="5188">
          <cell r="D5188">
            <v>41998</v>
          </cell>
          <cell r="U5188">
            <v>3</v>
          </cell>
          <cell r="Z5188">
            <v>0</v>
          </cell>
        </row>
        <row r="5189">
          <cell r="D5189">
            <v>41998</v>
          </cell>
          <cell r="U5189">
            <v>1</v>
          </cell>
          <cell r="Z5189">
            <v>0</v>
          </cell>
        </row>
        <row r="5190">
          <cell r="D5190">
            <v>41998</v>
          </cell>
          <cell r="U5190">
            <v>2</v>
          </cell>
          <cell r="Z5190">
            <v>0</v>
          </cell>
        </row>
        <row r="5191">
          <cell r="D5191">
            <v>41998</v>
          </cell>
          <cell r="U5191">
            <v>0</v>
          </cell>
          <cell r="Z5191">
            <v>0</v>
          </cell>
        </row>
        <row r="5192">
          <cell r="D5192">
            <v>41998</v>
          </cell>
          <cell r="U5192">
            <v>0</v>
          </cell>
          <cell r="Z5192">
            <v>0</v>
          </cell>
        </row>
        <row r="5193">
          <cell r="D5193">
            <v>41998</v>
          </cell>
          <cell r="U5193">
            <v>0</v>
          </cell>
          <cell r="Z5193">
            <v>1</v>
          </cell>
        </row>
        <row r="5194">
          <cell r="D5194">
            <v>41998</v>
          </cell>
          <cell r="U5194">
            <v>0</v>
          </cell>
          <cell r="Z5194">
            <v>1</v>
          </cell>
        </row>
        <row r="5195">
          <cell r="D5195">
            <v>41998</v>
          </cell>
          <cell r="U5195">
            <v>0</v>
          </cell>
          <cell r="Z5195">
            <v>1</v>
          </cell>
        </row>
        <row r="5196">
          <cell r="D5196">
            <v>41998</v>
          </cell>
          <cell r="U5196">
            <v>3</v>
          </cell>
          <cell r="Z5196">
            <v>0</v>
          </cell>
        </row>
        <row r="5197">
          <cell r="D5197">
            <v>41998</v>
          </cell>
          <cell r="U5197">
            <v>3</v>
          </cell>
          <cell r="Z5197">
            <v>0</v>
          </cell>
        </row>
        <row r="5198">
          <cell r="D5198">
            <v>41998</v>
          </cell>
          <cell r="U5198">
            <v>3</v>
          </cell>
          <cell r="Z5198">
            <v>0</v>
          </cell>
        </row>
        <row r="5199">
          <cell r="D5199">
            <v>41998</v>
          </cell>
          <cell r="U5199">
            <v>3</v>
          </cell>
          <cell r="Z5199">
            <v>0</v>
          </cell>
        </row>
        <row r="5200">
          <cell r="D5200">
            <v>41998</v>
          </cell>
          <cell r="U5200">
            <v>3</v>
          </cell>
          <cell r="Z5200">
            <v>0</v>
          </cell>
        </row>
        <row r="5201">
          <cell r="D5201">
            <v>41998</v>
          </cell>
          <cell r="U5201">
            <v>2</v>
          </cell>
          <cell r="Z5201">
            <v>0</v>
          </cell>
        </row>
        <row r="5202">
          <cell r="D5202">
            <v>41999</v>
          </cell>
          <cell r="U5202">
            <v>3</v>
          </cell>
          <cell r="Z5202">
            <v>0</v>
          </cell>
        </row>
        <row r="5203">
          <cell r="D5203">
            <v>41999</v>
          </cell>
          <cell r="U5203">
            <v>0</v>
          </cell>
          <cell r="Z5203">
            <v>1</v>
          </cell>
        </row>
        <row r="5204">
          <cell r="D5204">
            <v>41999</v>
          </cell>
          <cell r="U5204">
            <v>0</v>
          </cell>
          <cell r="Z5204">
            <v>1</v>
          </cell>
        </row>
        <row r="5205">
          <cell r="D5205">
            <v>41999</v>
          </cell>
          <cell r="U5205">
            <v>0</v>
          </cell>
          <cell r="Z5205">
            <v>1</v>
          </cell>
        </row>
        <row r="5206">
          <cell r="D5206">
            <v>41999</v>
          </cell>
          <cell r="U5206">
            <v>0</v>
          </cell>
          <cell r="Z5206">
            <v>1</v>
          </cell>
        </row>
        <row r="5207">
          <cell r="D5207">
            <v>41999</v>
          </cell>
          <cell r="U5207">
            <v>3</v>
          </cell>
          <cell r="Z5207">
            <v>0</v>
          </cell>
        </row>
        <row r="5208">
          <cell r="D5208">
            <v>41999</v>
          </cell>
          <cell r="U5208">
            <v>0</v>
          </cell>
          <cell r="Z5208">
            <v>1</v>
          </cell>
        </row>
        <row r="5209">
          <cell r="D5209">
            <v>41999</v>
          </cell>
          <cell r="U5209">
            <v>3</v>
          </cell>
          <cell r="Z5209">
            <v>0</v>
          </cell>
        </row>
        <row r="5210">
          <cell r="D5210">
            <v>41999</v>
          </cell>
          <cell r="U5210">
            <v>0</v>
          </cell>
          <cell r="Z5210">
            <v>1</v>
          </cell>
        </row>
        <row r="5211">
          <cell r="D5211">
            <v>41999</v>
          </cell>
          <cell r="U5211">
            <v>0</v>
          </cell>
          <cell r="Z5211">
            <v>1</v>
          </cell>
        </row>
        <row r="5212">
          <cell r="D5212">
            <v>41999</v>
          </cell>
          <cell r="U5212">
            <v>0</v>
          </cell>
          <cell r="Z5212">
            <v>1</v>
          </cell>
        </row>
        <row r="5213">
          <cell r="D5213">
            <v>41999</v>
          </cell>
          <cell r="U5213">
            <v>0</v>
          </cell>
          <cell r="Z5213">
            <v>0</v>
          </cell>
        </row>
        <row r="5214">
          <cell r="D5214">
            <v>41999</v>
          </cell>
          <cell r="U5214">
            <v>3</v>
          </cell>
          <cell r="Z5214">
            <v>0</v>
          </cell>
        </row>
        <row r="5215">
          <cell r="D5215">
            <v>41999</v>
          </cell>
          <cell r="U5215">
            <v>3</v>
          </cell>
          <cell r="Z5215">
            <v>0</v>
          </cell>
        </row>
        <row r="5216">
          <cell r="D5216">
            <v>41999</v>
          </cell>
          <cell r="U5216">
            <v>3</v>
          </cell>
          <cell r="Z5216">
            <v>0</v>
          </cell>
        </row>
        <row r="5217">
          <cell r="D5217">
            <v>41999</v>
          </cell>
          <cell r="U5217">
            <v>2</v>
          </cell>
          <cell r="Z5217">
            <v>0</v>
          </cell>
        </row>
        <row r="5218">
          <cell r="D5218">
            <v>41999</v>
          </cell>
          <cell r="U5218">
            <v>1</v>
          </cell>
          <cell r="Z5218">
            <v>0</v>
          </cell>
        </row>
        <row r="5219">
          <cell r="D5219">
            <v>41999</v>
          </cell>
          <cell r="U5219">
            <v>3</v>
          </cell>
          <cell r="Z5219">
            <v>0</v>
          </cell>
        </row>
        <row r="5220">
          <cell r="D5220">
            <v>41999</v>
          </cell>
          <cell r="U5220">
            <v>0</v>
          </cell>
          <cell r="Z5220">
            <v>1</v>
          </cell>
        </row>
        <row r="5221">
          <cell r="D5221">
            <v>41999</v>
          </cell>
          <cell r="U5221">
            <v>2</v>
          </cell>
          <cell r="Z5221">
            <v>0</v>
          </cell>
        </row>
        <row r="5222">
          <cell r="D5222">
            <v>41999</v>
          </cell>
          <cell r="U5222">
            <v>0</v>
          </cell>
          <cell r="Z5222">
            <v>1</v>
          </cell>
        </row>
        <row r="5223">
          <cell r="D5223">
            <v>41999</v>
          </cell>
          <cell r="U5223">
            <v>3</v>
          </cell>
          <cell r="Z5223">
            <v>0</v>
          </cell>
        </row>
        <row r="5224">
          <cell r="D5224">
            <v>41999</v>
          </cell>
          <cell r="U5224">
            <v>0</v>
          </cell>
          <cell r="Z5224">
            <v>1</v>
          </cell>
        </row>
        <row r="5225">
          <cell r="D5225">
            <v>41999</v>
          </cell>
          <cell r="U5225">
            <v>3</v>
          </cell>
          <cell r="Z5225">
            <v>0</v>
          </cell>
        </row>
        <row r="5226">
          <cell r="D5226">
            <v>41999</v>
          </cell>
          <cell r="U5226">
            <v>2</v>
          </cell>
          <cell r="Z5226">
            <v>0</v>
          </cell>
        </row>
        <row r="5227">
          <cell r="D5227">
            <v>42000</v>
          </cell>
          <cell r="U5227">
            <v>2</v>
          </cell>
          <cell r="Z5227">
            <v>0</v>
          </cell>
        </row>
        <row r="5228">
          <cell r="D5228">
            <v>42000</v>
          </cell>
          <cell r="U5228">
            <v>3</v>
          </cell>
          <cell r="Z5228">
            <v>0</v>
          </cell>
        </row>
        <row r="5229">
          <cell r="D5229">
            <v>42000</v>
          </cell>
          <cell r="U5229">
            <v>2</v>
          </cell>
          <cell r="Z5229">
            <v>0</v>
          </cell>
        </row>
        <row r="5230">
          <cell r="D5230">
            <v>42000</v>
          </cell>
          <cell r="U5230">
            <v>3</v>
          </cell>
          <cell r="Z5230">
            <v>0</v>
          </cell>
        </row>
        <row r="5231">
          <cell r="D5231">
            <v>42000</v>
          </cell>
          <cell r="U5231">
            <v>3</v>
          </cell>
          <cell r="Z5231">
            <v>0</v>
          </cell>
        </row>
        <row r="5232">
          <cell r="D5232">
            <v>42000</v>
          </cell>
          <cell r="U5232">
            <v>3</v>
          </cell>
          <cell r="Z5232">
            <v>0</v>
          </cell>
        </row>
        <row r="5233">
          <cell r="D5233">
            <v>42000</v>
          </cell>
          <cell r="U5233">
            <v>0</v>
          </cell>
          <cell r="Z5233">
            <v>1</v>
          </cell>
        </row>
        <row r="5234">
          <cell r="D5234">
            <v>42000</v>
          </cell>
          <cell r="U5234">
            <v>0</v>
          </cell>
          <cell r="Z5234">
            <v>1</v>
          </cell>
        </row>
        <row r="5235">
          <cell r="D5235">
            <v>42000</v>
          </cell>
          <cell r="U5235">
            <v>0</v>
          </cell>
          <cell r="Z5235">
            <v>1</v>
          </cell>
        </row>
        <row r="5236">
          <cell r="D5236">
            <v>42000</v>
          </cell>
          <cell r="U5236">
            <v>0</v>
          </cell>
          <cell r="Z5236">
            <v>1</v>
          </cell>
        </row>
        <row r="5237">
          <cell r="D5237">
            <v>42000</v>
          </cell>
          <cell r="U5237">
            <v>0</v>
          </cell>
          <cell r="Z5237">
            <v>1</v>
          </cell>
        </row>
        <row r="5238">
          <cell r="D5238">
            <v>42000</v>
          </cell>
          <cell r="U5238">
            <v>0</v>
          </cell>
          <cell r="Z5238">
            <v>0</v>
          </cell>
        </row>
        <row r="5239">
          <cell r="D5239">
            <v>42000</v>
          </cell>
          <cell r="U5239">
            <v>1</v>
          </cell>
          <cell r="Z5239">
            <v>0</v>
          </cell>
        </row>
        <row r="5240">
          <cell r="D5240">
            <v>42000</v>
          </cell>
          <cell r="U5240">
            <v>2</v>
          </cell>
          <cell r="Z5240">
            <v>0</v>
          </cell>
        </row>
        <row r="5241">
          <cell r="D5241">
            <v>42000</v>
          </cell>
          <cell r="U5241">
            <v>0</v>
          </cell>
          <cell r="Z5241">
            <v>1</v>
          </cell>
        </row>
        <row r="5242">
          <cell r="D5242">
            <v>42000</v>
          </cell>
          <cell r="U5242">
            <v>3</v>
          </cell>
          <cell r="Z5242">
            <v>0</v>
          </cell>
        </row>
        <row r="5243">
          <cell r="D5243">
            <v>42000</v>
          </cell>
          <cell r="U5243">
            <v>1</v>
          </cell>
          <cell r="Z5243">
            <v>0</v>
          </cell>
        </row>
        <row r="5244">
          <cell r="D5244">
            <v>42001</v>
          </cell>
          <cell r="U5244">
            <v>3</v>
          </cell>
          <cell r="Z5244">
            <v>0</v>
          </cell>
        </row>
        <row r="5245">
          <cell r="D5245">
            <v>42001</v>
          </cell>
          <cell r="U5245">
            <v>1</v>
          </cell>
          <cell r="Z5245">
            <v>0</v>
          </cell>
        </row>
        <row r="5246">
          <cell r="D5246">
            <v>42001</v>
          </cell>
          <cell r="U5246">
            <v>3</v>
          </cell>
          <cell r="Z5246">
            <v>0</v>
          </cell>
        </row>
        <row r="5247">
          <cell r="D5247">
            <v>42001</v>
          </cell>
          <cell r="U5247">
            <v>2</v>
          </cell>
          <cell r="Z5247">
            <v>0</v>
          </cell>
        </row>
        <row r="5248">
          <cell r="D5248">
            <v>42001</v>
          </cell>
          <cell r="U5248">
            <v>3</v>
          </cell>
          <cell r="Z5248">
            <v>0</v>
          </cell>
        </row>
        <row r="5249">
          <cell r="D5249">
            <v>42001</v>
          </cell>
          <cell r="U5249">
            <v>2</v>
          </cell>
          <cell r="Z5249">
            <v>0</v>
          </cell>
        </row>
        <row r="5250">
          <cell r="D5250">
            <v>42001</v>
          </cell>
          <cell r="U5250">
            <v>0</v>
          </cell>
          <cell r="Z5250">
            <v>1</v>
          </cell>
        </row>
        <row r="5251">
          <cell r="D5251">
            <v>42001</v>
          </cell>
          <cell r="U5251">
            <v>0</v>
          </cell>
          <cell r="Z5251">
            <v>1</v>
          </cell>
        </row>
        <row r="5252">
          <cell r="D5252">
            <v>42001</v>
          </cell>
          <cell r="U5252">
            <v>3</v>
          </cell>
          <cell r="Z5252">
            <v>0</v>
          </cell>
        </row>
        <row r="5253">
          <cell r="D5253">
            <v>42001</v>
          </cell>
          <cell r="U5253">
            <v>2</v>
          </cell>
          <cell r="Z5253">
            <v>0</v>
          </cell>
        </row>
        <row r="5254">
          <cell r="D5254">
            <v>42001</v>
          </cell>
          <cell r="U5254">
            <v>3</v>
          </cell>
          <cell r="Z5254">
            <v>0</v>
          </cell>
        </row>
        <row r="5255">
          <cell r="D5255">
            <v>42001</v>
          </cell>
          <cell r="U5255">
            <v>1</v>
          </cell>
          <cell r="Z5255">
            <v>0</v>
          </cell>
        </row>
        <row r="5256">
          <cell r="D5256">
            <v>42001</v>
          </cell>
          <cell r="U5256">
            <v>1</v>
          </cell>
          <cell r="Z5256">
            <v>0</v>
          </cell>
        </row>
        <row r="5257">
          <cell r="D5257">
            <v>42001</v>
          </cell>
          <cell r="U5257">
            <v>1</v>
          </cell>
          <cell r="Z5257">
            <v>0</v>
          </cell>
        </row>
        <row r="5258">
          <cell r="D5258">
            <v>42001</v>
          </cell>
          <cell r="U5258">
            <v>0</v>
          </cell>
          <cell r="Z5258">
            <v>1</v>
          </cell>
        </row>
        <row r="5259">
          <cell r="D5259">
            <v>42001</v>
          </cell>
          <cell r="U5259">
            <v>0</v>
          </cell>
          <cell r="Z5259">
            <v>1</v>
          </cell>
        </row>
        <row r="5260">
          <cell r="D5260">
            <v>42001</v>
          </cell>
          <cell r="U5260">
            <v>0</v>
          </cell>
          <cell r="Z5260">
            <v>1</v>
          </cell>
        </row>
        <row r="5261">
          <cell r="D5261">
            <v>42001</v>
          </cell>
          <cell r="U5261">
            <v>0</v>
          </cell>
          <cell r="Z5261">
            <v>1</v>
          </cell>
        </row>
        <row r="5262">
          <cell r="D5262">
            <v>42002</v>
          </cell>
          <cell r="U5262">
            <v>1</v>
          </cell>
          <cell r="Z5262">
            <v>0</v>
          </cell>
        </row>
        <row r="5263">
          <cell r="D5263">
            <v>42002</v>
          </cell>
          <cell r="U5263">
            <v>3</v>
          </cell>
          <cell r="Z5263">
            <v>0</v>
          </cell>
        </row>
        <row r="5264">
          <cell r="D5264">
            <v>42002</v>
          </cell>
          <cell r="U5264">
            <v>0</v>
          </cell>
          <cell r="Z5264">
            <v>1</v>
          </cell>
        </row>
        <row r="5265">
          <cell r="D5265">
            <v>42002</v>
          </cell>
          <cell r="U5265">
            <v>0</v>
          </cell>
          <cell r="Z5265">
            <v>1</v>
          </cell>
        </row>
        <row r="5266">
          <cell r="D5266">
            <v>42002</v>
          </cell>
          <cell r="U5266">
            <v>3</v>
          </cell>
          <cell r="Z5266">
            <v>0</v>
          </cell>
        </row>
        <row r="5267">
          <cell r="D5267">
            <v>42002</v>
          </cell>
          <cell r="U5267">
            <v>3</v>
          </cell>
          <cell r="Z5267">
            <v>0</v>
          </cell>
        </row>
        <row r="5268">
          <cell r="D5268">
            <v>42003</v>
          </cell>
          <cell r="U5268">
            <v>0</v>
          </cell>
          <cell r="Z5268">
            <v>1</v>
          </cell>
        </row>
        <row r="5269">
          <cell r="D5269">
            <v>42003</v>
          </cell>
          <cell r="U5269">
            <v>3</v>
          </cell>
          <cell r="Z5269">
            <v>0</v>
          </cell>
        </row>
        <row r="5270">
          <cell r="D5270">
            <v>42003</v>
          </cell>
          <cell r="U5270">
            <v>3</v>
          </cell>
          <cell r="Z5270">
            <v>0</v>
          </cell>
        </row>
        <row r="5271">
          <cell r="D5271">
            <v>42003</v>
          </cell>
          <cell r="U5271">
            <v>0</v>
          </cell>
          <cell r="Z5271">
            <v>1</v>
          </cell>
        </row>
        <row r="5272">
          <cell r="D5272">
            <v>42003</v>
          </cell>
          <cell r="U5272">
            <v>0</v>
          </cell>
          <cell r="Z5272">
            <v>1</v>
          </cell>
        </row>
        <row r="5273">
          <cell r="D5273">
            <v>42003</v>
          </cell>
          <cell r="U5273">
            <v>2</v>
          </cell>
          <cell r="Z5273">
            <v>0</v>
          </cell>
        </row>
        <row r="5274">
          <cell r="D5274">
            <v>42003</v>
          </cell>
          <cell r="U5274">
            <v>1</v>
          </cell>
          <cell r="Z5274">
            <v>0</v>
          </cell>
        </row>
        <row r="5275">
          <cell r="D5275">
            <v>42003</v>
          </cell>
          <cell r="U5275">
            <v>3</v>
          </cell>
          <cell r="Z5275">
            <v>0</v>
          </cell>
        </row>
        <row r="5276">
          <cell r="D5276">
            <v>42003</v>
          </cell>
          <cell r="U5276">
            <v>3</v>
          </cell>
          <cell r="Z5276">
            <v>0</v>
          </cell>
        </row>
        <row r="5277">
          <cell r="D5277">
            <v>42003</v>
          </cell>
          <cell r="U5277">
            <v>0</v>
          </cell>
          <cell r="Z5277">
            <v>1</v>
          </cell>
        </row>
        <row r="5278">
          <cell r="D5278">
            <v>42003</v>
          </cell>
          <cell r="U5278">
            <v>0</v>
          </cell>
          <cell r="Z5278">
            <v>1</v>
          </cell>
        </row>
        <row r="5279">
          <cell r="D5279">
            <v>42003</v>
          </cell>
          <cell r="U5279">
            <v>3</v>
          </cell>
          <cell r="Z5279">
            <v>0</v>
          </cell>
        </row>
        <row r="5280">
          <cell r="D5280">
            <v>42003</v>
          </cell>
          <cell r="U5280">
            <v>2</v>
          </cell>
          <cell r="Z5280">
            <v>0</v>
          </cell>
        </row>
        <row r="5281">
          <cell r="D5281">
            <v>42003</v>
          </cell>
          <cell r="U5281">
            <v>0</v>
          </cell>
          <cell r="Z5281">
            <v>1</v>
          </cell>
        </row>
        <row r="5282">
          <cell r="D5282">
            <v>42003</v>
          </cell>
          <cell r="U5282">
            <v>0</v>
          </cell>
          <cell r="Z5282">
            <v>1</v>
          </cell>
        </row>
        <row r="5283">
          <cell r="D5283">
            <v>42003</v>
          </cell>
          <cell r="U5283">
            <v>3</v>
          </cell>
          <cell r="Z5283">
            <v>0</v>
          </cell>
        </row>
        <row r="5284">
          <cell r="D5284">
            <v>42003</v>
          </cell>
          <cell r="U5284">
            <v>0</v>
          </cell>
          <cell r="Z5284">
            <v>0</v>
          </cell>
        </row>
        <row r="5285">
          <cell r="D5285">
            <v>42003</v>
          </cell>
          <cell r="U5285">
            <v>3</v>
          </cell>
          <cell r="Z5285">
            <v>0</v>
          </cell>
        </row>
        <row r="5286">
          <cell r="D5286">
            <v>42003</v>
          </cell>
          <cell r="U5286">
            <v>3</v>
          </cell>
          <cell r="Z5286">
            <v>0</v>
          </cell>
        </row>
        <row r="5287">
          <cell r="D5287">
            <v>42003</v>
          </cell>
          <cell r="U5287">
            <v>0</v>
          </cell>
          <cell r="Z5287">
            <v>1</v>
          </cell>
        </row>
        <row r="5288">
          <cell r="D5288">
            <v>42003</v>
          </cell>
          <cell r="U5288">
            <v>0</v>
          </cell>
          <cell r="Z5288">
            <v>1</v>
          </cell>
        </row>
        <row r="5289">
          <cell r="D5289">
            <v>42003</v>
          </cell>
          <cell r="U5289">
            <v>0</v>
          </cell>
          <cell r="Z5289">
            <v>1</v>
          </cell>
        </row>
        <row r="5290">
          <cell r="D5290">
            <v>42003</v>
          </cell>
          <cell r="U5290">
            <v>0</v>
          </cell>
          <cell r="Z5290">
            <v>1</v>
          </cell>
        </row>
        <row r="5291">
          <cell r="D5291">
            <v>42003</v>
          </cell>
          <cell r="U5291">
            <v>3</v>
          </cell>
          <cell r="Z5291">
            <v>0</v>
          </cell>
        </row>
        <row r="5292">
          <cell r="D5292">
            <v>42003</v>
          </cell>
          <cell r="U5292">
            <v>0</v>
          </cell>
          <cell r="Z5292">
            <v>1</v>
          </cell>
        </row>
        <row r="5293">
          <cell r="D5293">
            <v>42004</v>
          </cell>
          <cell r="U5293">
            <v>1</v>
          </cell>
          <cell r="Z5293">
            <v>0</v>
          </cell>
        </row>
        <row r="5294">
          <cell r="D5294">
            <v>42004</v>
          </cell>
          <cell r="U5294">
            <v>2</v>
          </cell>
          <cell r="Z5294">
            <v>0</v>
          </cell>
        </row>
        <row r="5295">
          <cell r="D5295">
            <v>42004</v>
          </cell>
          <cell r="U5295">
            <v>0</v>
          </cell>
          <cell r="Z5295">
            <v>1</v>
          </cell>
        </row>
        <row r="5296">
          <cell r="D5296">
            <v>42004</v>
          </cell>
          <cell r="U5296">
            <v>2</v>
          </cell>
          <cell r="Z5296">
            <v>0</v>
          </cell>
        </row>
        <row r="5297">
          <cell r="D5297">
            <v>42004</v>
          </cell>
          <cell r="U5297">
            <v>0</v>
          </cell>
          <cell r="Z5297">
            <v>1</v>
          </cell>
        </row>
        <row r="5298">
          <cell r="D5298">
            <v>42004</v>
          </cell>
          <cell r="U5298">
            <v>0</v>
          </cell>
          <cell r="Z5298">
            <v>1</v>
          </cell>
        </row>
        <row r="5299">
          <cell r="D5299">
            <v>42004</v>
          </cell>
          <cell r="U5299">
            <v>0</v>
          </cell>
          <cell r="Z5299">
            <v>0</v>
          </cell>
        </row>
        <row r="5300">
          <cell r="D5300">
            <v>42004</v>
          </cell>
          <cell r="U5300">
            <v>0</v>
          </cell>
          <cell r="Z5300">
            <v>1</v>
          </cell>
        </row>
        <row r="5301">
          <cell r="D5301">
            <v>42004</v>
          </cell>
          <cell r="U5301">
            <v>0</v>
          </cell>
          <cell r="Z5301">
            <v>1</v>
          </cell>
        </row>
        <row r="5302">
          <cell r="D5302">
            <v>42004</v>
          </cell>
          <cell r="U5302">
            <v>0</v>
          </cell>
          <cell r="Z5302">
            <v>1</v>
          </cell>
        </row>
        <row r="5303">
          <cell r="D5303">
            <v>42004</v>
          </cell>
          <cell r="U5303">
            <v>0</v>
          </cell>
          <cell r="Z5303">
            <v>1</v>
          </cell>
        </row>
        <row r="5304">
          <cell r="D5304">
            <v>42004</v>
          </cell>
          <cell r="U5304">
            <v>0</v>
          </cell>
          <cell r="Z5304">
            <v>1</v>
          </cell>
        </row>
        <row r="5305">
          <cell r="D5305">
            <v>42004</v>
          </cell>
          <cell r="U5305">
            <v>0</v>
          </cell>
          <cell r="Z5305">
            <v>0</v>
          </cell>
        </row>
        <row r="5306">
          <cell r="U5306">
            <v>0</v>
          </cell>
          <cell r="Z5306">
            <v>0</v>
          </cell>
        </row>
        <row r="5307">
          <cell r="U5307">
            <v>0</v>
          </cell>
          <cell r="Z5307">
            <v>0</v>
          </cell>
        </row>
        <row r="5308">
          <cell r="U5308">
            <v>0</v>
          </cell>
          <cell r="Z5308">
            <v>0</v>
          </cell>
        </row>
        <row r="5309">
          <cell r="U5309">
            <v>0</v>
          </cell>
          <cell r="Z5309">
            <v>0</v>
          </cell>
        </row>
        <row r="5310">
          <cell r="U5310">
            <v>0</v>
          </cell>
          <cell r="Z5310">
            <v>0</v>
          </cell>
        </row>
        <row r="5311">
          <cell r="U5311">
            <v>0</v>
          </cell>
          <cell r="Z5311">
            <v>0</v>
          </cell>
        </row>
        <row r="5312">
          <cell r="U5312">
            <v>0</v>
          </cell>
          <cell r="Z5312">
            <v>0</v>
          </cell>
        </row>
        <row r="5313">
          <cell r="U5313">
            <v>0</v>
          </cell>
          <cell r="Z5313">
            <v>0</v>
          </cell>
        </row>
        <row r="5314">
          <cell r="U5314">
            <v>0</v>
          </cell>
          <cell r="Z5314">
            <v>0</v>
          </cell>
        </row>
        <row r="5315">
          <cell r="U5315">
            <v>0</v>
          </cell>
          <cell r="Z5315">
            <v>0</v>
          </cell>
        </row>
        <row r="5316">
          <cell r="U5316">
            <v>0</v>
          </cell>
          <cell r="Z5316">
            <v>0</v>
          </cell>
        </row>
        <row r="5317">
          <cell r="U5317">
            <v>0</v>
          </cell>
          <cell r="Z5317">
            <v>0</v>
          </cell>
        </row>
        <row r="5318">
          <cell r="U5318">
            <v>0</v>
          </cell>
          <cell r="Z5318">
            <v>0</v>
          </cell>
        </row>
        <row r="5319">
          <cell r="U5319">
            <v>0</v>
          </cell>
          <cell r="Z5319">
            <v>0</v>
          </cell>
        </row>
        <row r="5320">
          <cell r="U5320">
            <v>0</v>
          </cell>
          <cell r="Z5320">
            <v>0</v>
          </cell>
        </row>
        <row r="5321">
          <cell r="U5321">
            <v>0</v>
          </cell>
          <cell r="Z5321">
            <v>0</v>
          </cell>
        </row>
        <row r="5322">
          <cell r="U5322">
            <v>0</v>
          </cell>
          <cell r="Z5322">
            <v>0</v>
          </cell>
        </row>
        <row r="5323">
          <cell r="U5323">
            <v>0</v>
          </cell>
          <cell r="Z5323">
            <v>0</v>
          </cell>
        </row>
        <row r="5324">
          <cell r="U5324">
            <v>0</v>
          </cell>
          <cell r="Z5324">
            <v>0</v>
          </cell>
        </row>
        <row r="5325">
          <cell r="U5325">
            <v>0</v>
          </cell>
          <cell r="Z5325">
            <v>0</v>
          </cell>
        </row>
        <row r="5326">
          <cell r="U5326">
            <v>0</v>
          </cell>
          <cell r="Z5326">
            <v>0</v>
          </cell>
        </row>
        <row r="5327">
          <cell r="U5327">
            <v>0</v>
          </cell>
          <cell r="Z5327">
            <v>0</v>
          </cell>
        </row>
        <row r="5328">
          <cell r="U5328">
            <v>0</v>
          </cell>
          <cell r="Z5328">
            <v>0</v>
          </cell>
        </row>
        <row r="5329">
          <cell r="U5329">
            <v>0</v>
          </cell>
          <cell r="Z5329">
            <v>0</v>
          </cell>
        </row>
        <row r="5330">
          <cell r="U5330">
            <v>0</v>
          </cell>
          <cell r="Z5330">
            <v>0</v>
          </cell>
        </row>
        <row r="5331">
          <cell r="U5331">
            <v>0</v>
          </cell>
          <cell r="Z5331">
            <v>0</v>
          </cell>
        </row>
        <row r="5332">
          <cell r="U5332">
            <v>0</v>
          </cell>
          <cell r="Z5332">
            <v>0</v>
          </cell>
        </row>
        <row r="5333">
          <cell r="U5333">
            <v>0</v>
          </cell>
          <cell r="Z5333">
            <v>0</v>
          </cell>
        </row>
        <row r="5334">
          <cell r="U5334">
            <v>0</v>
          </cell>
          <cell r="Z5334">
            <v>0</v>
          </cell>
        </row>
        <row r="5335">
          <cell r="U5335">
            <v>0</v>
          </cell>
          <cell r="Z5335">
            <v>0</v>
          </cell>
        </row>
        <row r="5336">
          <cell r="U5336">
            <v>0</v>
          </cell>
          <cell r="Z5336">
            <v>0</v>
          </cell>
        </row>
        <row r="5337">
          <cell r="U5337">
            <v>0</v>
          </cell>
          <cell r="Z5337">
            <v>0</v>
          </cell>
        </row>
        <row r="5338">
          <cell r="U5338">
            <v>0</v>
          </cell>
          <cell r="Z5338">
            <v>0</v>
          </cell>
        </row>
        <row r="5339">
          <cell r="U5339">
            <v>0</v>
          </cell>
          <cell r="Z5339">
            <v>0</v>
          </cell>
        </row>
        <row r="5340">
          <cell r="U5340">
            <v>0</v>
          </cell>
          <cell r="Z5340">
            <v>0</v>
          </cell>
        </row>
        <row r="5341">
          <cell r="U5341">
            <v>0</v>
          </cell>
          <cell r="Z5341">
            <v>0</v>
          </cell>
        </row>
        <row r="5342">
          <cell r="U5342">
            <v>0</v>
          </cell>
          <cell r="Z5342">
            <v>0</v>
          </cell>
        </row>
        <row r="5343">
          <cell r="U5343">
            <v>0</v>
          </cell>
          <cell r="Z5343">
            <v>0</v>
          </cell>
        </row>
        <row r="5344">
          <cell r="U5344">
            <v>0</v>
          </cell>
          <cell r="Z5344">
            <v>0</v>
          </cell>
        </row>
        <row r="5345">
          <cell r="U5345">
            <v>0</v>
          </cell>
          <cell r="Z5345">
            <v>0</v>
          </cell>
        </row>
        <row r="5346">
          <cell r="U5346">
            <v>0</v>
          </cell>
          <cell r="Z5346">
            <v>0</v>
          </cell>
        </row>
        <row r="5347">
          <cell r="U5347">
            <v>0</v>
          </cell>
          <cell r="Z5347">
            <v>0</v>
          </cell>
        </row>
        <row r="5348">
          <cell r="U5348">
            <v>0</v>
          </cell>
          <cell r="Z5348">
            <v>0</v>
          </cell>
        </row>
        <row r="5349">
          <cell r="U5349">
            <v>0</v>
          </cell>
          <cell r="Z5349">
            <v>0</v>
          </cell>
        </row>
        <row r="5350">
          <cell r="U5350">
            <v>0</v>
          </cell>
          <cell r="Z5350">
            <v>0</v>
          </cell>
        </row>
        <row r="5351">
          <cell r="U5351">
            <v>0</v>
          </cell>
          <cell r="Z5351">
            <v>0</v>
          </cell>
        </row>
        <row r="5352">
          <cell r="U5352">
            <v>0</v>
          </cell>
          <cell r="Z5352">
            <v>0</v>
          </cell>
        </row>
        <row r="5353">
          <cell r="U5353">
            <v>0</v>
          </cell>
          <cell r="Z5353">
            <v>0</v>
          </cell>
        </row>
        <row r="5354">
          <cell r="U5354">
            <v>0</v>
          </cell>
          <cell r="Z5354">
            <v>0</v>
          </cell>
        </row>
        <row r="5355">
          <cell r="U5355">
            <v>0</v>
          </cell>
          <cell r="Z5355">
            <v>0</v>
          </cell>
        </row>
        <row r="5356">
          <cell r="U5356">
            <v>0</v>
          </cell>
          <cell r="Z5356">
            <v>0</v>
          </cell>
        </row>
        <row r="5357">
          <cell r="U5357">
            <v>0</v>
          </cell>
          <cell r="Z5357">
            <v>0</v>
          </cell>
        </row>
        <row r="5358">
          <cell r="U5358">
            <v>0</v>
          </cell>
          <cell r="Z5358">
            <v>0</v>
          </cell>
        </row>
        <row r="5359">
          <cell r="U5359">
            <v>0</v>
          </cell>
          <cell r="Z5359">
            <v>0</v>
          </cell>
        </row>
        <row r="5360">
          <cell r="U5360">
            <v>0</v>
          </cell>
          <cell r="Z5360">
            <v>0</v>
          </cell>
        </row>
        <row r="5361">
          <cell r="U5361">
            <v>0</v>
          </cell>
          <cell r="Z5361">
            <v>0</v>
          </cell>
        </row>
        <row r="5362">
          <cell r="U5362">
            <v>0</v>
          </cell>
          <cell r="Z5362">
            <v>0</v>
          </cell>
        </row>
        <row r="5363">
          <cell r="U5363">
            <v>0</v>
          </cell>
          <cell r="Z5363">
            <v>0</v>
          </cell>
        </row>
        <row r="5364">
          <cell r="U5364">
            <v>0</v>
          </cell>
          <cell r="Z5364">
            <v>0</v>
          </cell>
        </row>
        <row r="5365">
          <cell r="U5365">
            <v>0</v>
          </cell>
          <cell r="Z5365">
            <v>0</v>
          </cell>
        </row>
        <row r="5366">
          <cell r="U5366">
            <v>0</v>
          </cell>
          <cell r="Z5366">
            <v>0</v>
          </cell>
        </row>
        <row r="5367">
          <cell r="U5367">
            <v>0</v>
          </cell>
          <cell r="Z5367">
            <v>0</v>
          </cell>
        </row>
        <row r="5368">
          <cell r="U5368">
            <v>0</v>
          </cell>
          <cell r="Z5368">
            <v>0</v>
          </cell>
        </row>
        <row r="5369">
          <cell r="U5369">
            <v>0</v>
          </cell>
          <cell r="Z5369">
            <v>0</v>
          </cell>
        </row>
        <row r="5370">
          <cell r="U5370">
            <v>0</v>
          </cell>
          <cell r="Z5370">
            <v>0</v>
          </cell>
        </row>
        <row r="5371">
          <cell r="U5371">
            <v>0</v>
          </cell>
          <cell r="Z5371">
            <v>0</v>
          </cell>
        </row>
        <row r="5372">
          <cell r="U5372">
            <v>0</v>
          </cell>
          <cell r="Z5372">
            <v>0</v>
          </cell>
        </row>
        <row r="5373">
          <cell r="U5373">
            <v>0</v>
          </cell>
          <cell r="Z5373">
            <v>0</v>
          </cell>
        </row>
        <row r="5374">
          <cell r="U5374">
            <v>0</v>
          </cell>
          <cell r="Z5374">
            <v>0</v>
          </cell>
        </row>
        <row r="5375">
          <cell r="U5375">
            <v>0</v>
          </cell>
          <cell r="Z5375">
            <v>0</v>
          </cell>
        </row>
        <row r="5376">
          <cell r="U5376">
            <v>0</v>
          </cell>
          <cell r="Z5376">
            <v>0</v>
          </cell>
        </row>
        <row r="5377">
          <cell r="U5377">
            <v>0</v>
          </cell>
          <cell r="Z5377">
            <v>0</v>
          </cell>
        </row>
        <row r="5378">
          <cell r="U5378">
            <v>0</v>
          </cell>
          <cell r="Z5378">
            <v>0</v>
          </cell>
        </row>
        <row r="5379">
          <cell r="U5379">
            <v>0</v>
          </cell>
          <cell r="Z5379">
            <v>0</v>
          </cell>
        </row>
        <row r="5380">
          <cell r="U5380">
            <v>0</v>
          </cell>
          <cell r="Z5380">
            <v>0</v>
          </cell>
        </row>
        <row r="5381">
          <cell r="U5381">
            <v>0</v>
          </cell>
          <cell r="Z5381">
            <v>0</v>
          </cell>
        </row>
        <row r="5382">
          <cell r="U5382">
            <v>0</v>
          </cell>
          <cell r="Z5382">
            <v>0</v>
          </cell>
        </row>
        <row r="5383">
          <cell r="U5383">
            <v>0</v>
          </cell>
          <cell r="Z5383">
            <v>0</v>
          </cell>
        </row>
        <row r="5384">
          <cell r="U5384">
            <v>0</v>
          </cell>
          <cell r="Z5384">
            <v>0</v>
          </cell>
        </row>
        <row r="5385">
          <cell r="U5385">
            <v>0</v>
          </cell>
          <cell r="Z5385">
            <v>0</v>
          </cell>
        </row>
        <row r="5386">
          <cell r="U5386">
            <v>0</v>
          </cell>
          <cell r="Z5386">
            <v>0</v>
          </cell>
        </row>
        <row r="5387">
          <cell r="U5387">
            <v>0</v>
          </cell>
          <cell r="Z5387">
            <v>0</v>
          </cell>
        </row>
        <row r="5388">
          <cell r="U5388">
            <v>0</v>
          </cell>
          <cell r="Z5388">
            <v>0</v>
          </cell>
        </row>
        <row r="5389">
          <cell r="U5389">
            <v>0</v>
          </cell>
          <cell r="Z5389">
            <v>0</v>
          </cell>
        </row>
        <row r="5390">
          <cell r="U5390">
            <v>0</v>
          </cell>
          <cell r="Z5390">
            <v>0</v>
          </cell>
        </row>
        <row r="5391">
          <cell r="U5391">
            <v>0</v>
          </cell>
          <cell r="Z5391">
            <v>0</v>
          </cell>
        </row>
        <row r="5392">
          <cell r="U5392">
            <v>0</v>
          </cell>
          <cell r="Z5392">
            <v>0</v>
          </cell>
        </row>
        <row r="5393">
          <cell r="U5393">
            <v>0</v>
          </cell>
          <cell r="Z5393">
            <v>0</v>
          </cell>
        </row>
        <row r="5394">
          <cell r="U5394">
            <v>0</v>
          </cell>
          <cell r="Z5394">
            <v>0</v>
          </cell>
        </row>
        <row r="5395">
          <cell r="U5395">
            <v>0</v>
          </cell>
          <cell r="Z5395">
            <v>0</v>
          </cell>
        </row>
        <row r="5396">
          <cell r="U5396">
            <v>0</v>
          </cell>
          <cell r="Z5396">
            <v>0</v>
          </cell>
        </row>
        <row r="5397">
          <cell r="U5397">
            <v>0</v>
          </cell>
          <cell r="Z5397">
            <v>0</v>
          </cell>
        </row>
        <row r="5398">
          <cell r="U5398">
            <v>0</v>
          </cell>
          <cell r="Z5398">
            <v>0</v>
          </cell>
        </row>
        <row r="5399">
          <cell r="U5399">
            <v>0</v>
          </cell>
          <cell r="Z5399">
            <v>0</v>
          </cell>
        </row>
        <row r="5400">
          <cell r="U5400">
            <v>0</v>
          </cell>
          <cell r="Z5400">
            <v>0</v>
          </cell>
        </row>
        <row r="5401">
          <cell r="U5401">
            <v>0</v>
          </cell>
          <cell r="Z5401">
            <v>0</v>
          </cell>
        </row>
        <row r="5402">
          <cell r="U5402">
            <v>0</v>
          </cell>
          <cell r="Z5402">
            <v>0</v>
          </cell>
        </row>
        <row r="5403">
          <cell r="U5403">
            <v>0</v>
          </cell>
          <cell r="Z5403">
            <v>0</v>
          </cell>
        </row>
        <row r="5404">
          <cell r="U5404">
            <v>0</v>
          </cell>
          <cell r="Z5404">
            <v>0</v>
          </cell>
        </row>
        <row r="5405">
          <cell r="U5405">
            <v>0</v>
          </cell>
          <cell r="Z5405">
            <v>0</v>
          </cell>
        </row>
        <row r="5406">
          <cell r="U5406">
            <v>0</v>
          </cell>
          <cell r="Z5406">
            <v>0</v>
          </cell>
        </row>
        <row r="5407">
          <cell r="U5407">
            <v>0</v>
          </cell>
          <cell r="Z5407">
            <v>0</v>
          </cell>
        </row>
        <row r="5408">
          <cell r="U5408">
            <v>0</v>
          </cell>
          <cell r="Z5408">
            <v>0</v>
          </cell>
        </row>
        <row r="5409">
          <cell r="U5409">
            <v>0</v>
          </cell>
          <cell r="Z5409">
            <v>0</v>
          </cell>
        </row>
        <row r="5410">
          <cell r="U5410">
            <v>0</v>
          </cell>
          <cell r="Z5410">
            <v>0</v>
          </cell>
        </row>
        <row r="5411">
          <cell r="U5411">
            <v>0</v>
          </cell>
          <cell r="Z5411">
            <v>0</v>
          </cell>
        </row>
        <row r="5412">
          <cell r="U5412">
            <v>0</v>
          </cell>
          <cell r="Z5412">
            <v>0</v>
          </cell>
        </row>
        <row r="5413">
          <cell r="U5413">
            <v>0</v>
          </cell>
          <cell r="Z5413">
            <v>0</v>
          </cell>
        </row>
        <row r="5414">
          <cell r="U5414">
            <v>0</v>
          </cell>
          <cell r="Z5414">
            <v>0</v>
          </cell>
        </row>
        <row r="5415">
          <cell r="U5415">
            <v>0</v>
          </cell>
          <cell r="Z5415">
            <v>0</v>
          </cell>
        </row>
        <row r="5416">
          <cell r="U5416">
            <v>0</v>
          </cell>
          <cell r="Z5416">
            <v>0</v>
          </cell>
        </row>
        <row r="5417">
          <cell r="U5417">
            <v>0</v>
          </cell>
          <cell r="Z5417">
            <v>0</v>
          </cell>
        </row>
        <row r="5418">
          <cell r="U5418">
            <v>0</v>
          </cell>
          <cell r="Z5418">
            <v>0</v>
          </cell>
        </row>
        <row r="5419">
          <cell r="U5419">
            <v>0</v>
          </cell>
          <cell r="Z5419">
            <v>0</v>
          </cell>
        </row>
        <row r="5420">
          <cell r="U5420">
            <v>0</v>
          </cell>
          <cell r="Z5420">
            <v>0</v>
          </cell>
        </row>
        <row r="5421">
          <cell r="U5421">
            <v>0</v>
          </cell>
          <cell r="Z5421">
            <v>0</v>
          </cell>
        </row>
        <row r="5422">
          <cell r="U5422">
            <v>0</v>
          </cell>
          <cell r="Z5422">
            <v>0</v>
          </cell>
        </row>
        <row r="5423">
          <cell r="U5423">
            <v>0</v>
          </cell>
          <cell r="Z5423">
            <v>0</v>
          </cell>
        </row>
        <row r="5424">
          <cell r="U5424">
            <v>0</v>
          </cell>
          <cell r="Z5424">
            <v>0</v>
          </cell>
        </row>
        <row r="5425">
          <cell r="U5425">
            <v>0</v>
          </cell>
          <cell r="Z5425">
            <v>0</v>
          </cell>
        </row>
        <row r="5426">
          <cell r="U5426">
            <v>0</v>
          </cell>
          <cell r="Z5426">
            <v>0</v>
          </cell>
        </row>
        <row r="5427">
          <cell r="U5427">
            <v>0</v>
          </cell>
          <cell r="Z5427">
            <v>0</v>
          </cell>
        </row>
        <row r="5428">
          <cell r="U5428">
            <v>0</v>
          </cell>
          <cell r="Z5428">
            <v>0</v>
          </cell>
        </row>
        <row r="5429">
          <cell r="U5429">
            <v>0</v>
          </cell>
          <cell r="Z5429">
            <v>0</v>
          </cell>
        </row>
        <row r="5430">
          <cell r="U5430">
            <v>0</v>
          </cell>
          <cell r="Z5430">
            <v>0</v>
          </cell>
        </row>
        <row r="5431">
          <cell r="U5431">
            <v>0</v>
          </cell>
          <cell r="Z5431">
            <v>0</v>
          </cell>
        </row>
        <row r="5432">
          <cell r="U5432">
            <v>0</v>
          </cell>
          <cell r="Z5432">
            <v>0</v>
          </cell>
        </row>
        <row r="5433">
          <cell r="U5433">
            <v>0</v>
          </cell>
          <cell r="Z5433">
            <v>0</v>
          </cell>
        </row>
        <row r="5434">
          <cell r="U5434">
            <v>0</v>
          </cell>
          <cell r="Z5434">
            <v>0</v>
          </cell>
        </row>
        <row r="5435">
          <cell r="U5435">
            <v>0</v>
          </cell>
          <cell r="Z5435">
            <v>0</v>
          </cell>
        </row>
        <row r="5436">
          <cell r="U5436">
            <v>0</v>
          </cell>
          <cell r="Z5436">
            <v>0</v>
          </cell>
        </row>
        <row r="5437">
          <cell r="U5437">
            <v>0</v>
          </cell>
          <cell r="Z5437">
            <v>0</v>
          </cell>
        </row>
        <row r="5438">
          <cell r="U5438">
            <v>0</v>
          </cell>
          <cell r="Z5438">
            <v>0</v>
          </cell>
        </row>
        <row r="5439">
          <cell r="U5439">
            <v>0</v>
          </cell>
          <cell r="Z5439">
            <v>0</v>
          </cell>
        </row>
        <row r="5440">
          <cell r="U5440">
            <v>0</v>
          </cell>
          <cell r="Z5440">
            <v>0</v>
          </cell>
        </row>
        <row r="5441">
          <cell r="U5441">
            <v>0</v>
          </cell>
          <cell r="Z5441">
            <v>0</v>
          </cell>
        </row>
        <row r="5442">
          <cell r="U5442">
            <v>0</v>
          </cell>
          <cell r="Z5442">
            <v>0</v>
          </cell>
        </row>
        <row r="5443">
          <cell r="U5443">
            <v>0</v>
          </cell>
          <cell r="Z5443">
            <v>0</v>
          </cell>
        </row>
        <row r="5444">
          <cell r="U5444">
            <v>0</v>
          </cell>
          <cell r="Z5444">
            <v>0</v>
          </cell>
        </row>
        <row r="5445">
          <cell r="U5445">
            <v>0</v>
          </cell>
          <cell r="Z5445">
            <v>0</v>
          </cell>
        </row>
        <row r="5446">
          <cell r="U5446">
            <v>0</v>
          </cell>
          <cell r="Z5446">
            <v>0</v>
          </cell>
        </row>
        <row r="5447">
          <cell r="U5447">
            <v>0</v>
          </cell>
          <cell r="Z5447">
            <v>0</v>
          </cell>
        </row>
        <row r="5448">
          <cell r="U5448">
            <v>0</v>
          </cell>
          <cell r="Z5448">
            <v>0</v>
          </cell>
        </row>
        <row r="5449">
          <cell r="U5449">
            <v>0</v>
          </cell>
          <cell r="Z5449">
            <v>0</v>
          </cell>
        </row>
        <row r="5450">
          <cell r="U5450">
            <v>0</v>
          </cell>
          <cell r="Z5450">
            <v>0</v>
          </cell>
        </row>
        <row r="5451">
          <cell r="U5451">
            <v>0</v>
          </cell>
          <cell r="Z5451">
            <v>0</v>
          </cell>
        </row>
        <row r="5452">
          <cell r="U5452">
            <v>0</v>
          </cell>
          <cell r="Z5452">
            <v>0</v>
          </cell>
        </row>
        <row r="5453">
          <cell r="U5453">
            <v>0</v>
          </cell>
          <cell r="Z5453">
            <v>0</v>
          </cell>
        </row>
        <row r="5454">
          <cell r="U5454">
            <v>0</v>
          </cell>
          <cell r="Z5454">
            <v>0</v>
          </cell>
        </row>
        <row r="5455">
          <cell r="U5455">
            <v>0</v>
          </cell>
          <cell r="Z5455">
            <v>0</v>
          </cell>
        </row>
        <row r="5456">
          <cell r="U5456">
            <v>0</v>
          </cell>
          <cell r="Z5456">
            <v>0</v>
          </cell>
        </row>
        <row r="5457">
          <cell r="U5457">
            <v>0</v>
          </cell>
          <cell r="Z5457">
            <v>0</v>
          </cell>
        </row>
        <row r="5458">
          <cell r="U5458">
            <v>0</v>
          </cell>
          <cell r="Z5458">
            <v>0</v>
          </cell>
        </row>
        <row r="5459">
          <cell r="U5459">
            <v>0</v>
          </cell>
          <cell r="Z5459">
            <v>0</v>
          </cell>
        </row>
        <row r="5460">
          <cell r="U5460">
            <v>0</v>
          </cell>
          <cell r="Z5460">
            <v>0</v>
          </cell>
        </row>
        <row r="5461">
          <cell r="U5461">
            <v>0</v>
          </cell>
          <cell r="Z5461">
            <v>0</v>
          </cell>
        </row>
        <row r="5462">
          <cell r="U5462">
            <v>0</v>
          </cell>
          <cell r="Z5462">
            <v>0</v>
          </cell>
        </row>
        <row r="5463">
          <cell r="U5463">
            <v>0</v>
          </cell>
          <cell r="Z5463">
            <v>0</v>
          </cell>
        </row>
        <row r="5464">
          <cell r="U5464">
            <v>0</v>
          </cell>
          <cell r="Z5464">
            <v>0</v>
          </cell>
        </row>
        <row r="5465">
          <cell r="U5465">
            <v>0</v>
          </cell>
          <cell r="Z5465">
            <v>0</v>
          </cell>
        </row>
        <row r="5466">
          <cell r="U5466">
            <v>0</v>
          </cell>
          <cell r="Z5466">
            <v>0</v>
          </cell>
        </row>
        <row r="5467">
          <cell r="U5467">
            <v>0</v>
          </cell>
          <cell r="Z5467">
            <v>0</v>
          </cell>
        </row>
        <row r="5468">
          <cell r="U5468">
            <v>0</v>
          </cell>
          <cell r="Z5468">
            <v>0</v>
          </cell>
        </row>
        <row r="5469">
          <cell r="U5469">
            <v>0</v>
          </cell>
          <cell r="Z5469">
            <v>0</v>
          </cell>
        </row>
        <row r="5470">
          <cell r="U5470">
            <v>0</v>
          </cell>
          <cell r="Z5470">
            <v>0</v>
          </cell>
        </row>
        <row r="5471">
          <cell r="U5471">
            <v>0</v>
          </cell>
          <cell r="Z5471">
            <v>0</v>
          </cell>
        </row>
        <row r="5472">
          <cell r="U5472">
            <v>0</v>
          </cell>
          <cell r="Z5472">
            <v>0</v>
          </cell>
        </row>
        <row r="5473">
          <cell r="U5473">
            <v>0</v>
          </cell>
          <cell r="Z5473">
            <v>0</v>
          </cell>
        </row>
        <row r="5474">
          <cell r="U5474">
            <v>0</v>
          </cell>
          <cell r="Z5474">
            <v>0</v>
          </cell>
        </row>
        <row r="5475">
          <cell r="U5475">
            <v>0</v>
          </cell>
          <cell r="Z5475">
            <v>0</v>
          </cell>
        </row>
        <row r="5476">
          <cell r="U5476">
            <v>0</v>
          </cell>
          <cell r="Z5476">
            <v>0</v>
          </cell>
        </row>
        <row r="5477">
          <cell r="U5477">
            <v>0</v>
          </cell>
          <cell r="Z5477">
            <v>0</v>
          </cell>
        </row>
        <row r="5478">
          <cell r="U5478">
            <v>0</v>
          </cell>
          <cell r="Z5478">
            <v>0</v>
          </cell>
        </row>
        <row r="5479">
          <cell r="U5479">
            <v>0</v>
          </cell>
          <cell r="Z5479">
            <v>0</v>
          </cell>
        </row>
        <row r="5480">
          <cell r="U5480">
            <v>0</v>
          </cell>
          <cell r="Z5480">
            <v>0</v>
          </cell>
        </row>
        <row r="5481">
          <cell r="U5481">
            <v>0</v>
          </cell>
          <cell r="Z5481">
            <v>0</v>
          </cell>
        </row>
        <row r="5482">
          <cell r="U5482">
            <v>0</v>
          </cell>
          <cell r="Z5482">
            <v>0</v>
          </cell>
        </row>
        <row r="5483">
          <cell r="U5483">
            <v>0</v>
          </cell>
          <cell r="Z5483">
            <v>0</v>
          </cell>
        </row>
        <row r="5484">
          <cell r="U5484">
            <v>0</v>
          </cell>
          <cell r="Z5484">
            <v>0</v>
          </cell>
        </row>
        <row r="5485">
          <cell r="U5485">
            <v>0</v>
          </cell>
          <cell r="Z5485">
            <v>0</v>
          </cell>
        </row>
        <row r="5486">
          <cell r="U5486">
            <v>0</v>
          </cell>
          <cell r="Z5486">
            <v>0</v>
          </cell>
        </row>
        <row r="5487">
          <cell r="U5487">
            <v>0</v>
          </cell>
          <cell r="Z5487">
            <v>0</v>
          </cell>
        </row>
        <row r="5488">
          <cell r="U5488">
            <v>0</v>
          </cell>
          <cell r="Z5488">
            <v>0</v>
          </cell>
        </row>
        <row r="5489">
          <cell r="U5489">
            <v>0</v>
          </cell>
          <cell r="Z5489">
            <v>0</v>
          </cell>
        </row>
        <row r="5490">
          <cell r="U5490">
            <v>0</v>
          </cell>
          <cell r="Z5490">
            <v>0</v>
          </cell>
        </row>
        <row r="5491">
          <cell r="U5491">
            <v>0</v>
          </cell>
          <cell r="Z5491">
            <v>0</v>
          </cell>
        </row>
        <row r="5492">
          <cell r="U5492">
            <v>0</v>
          </cell>
          <cell r="Z5492">
            <v>0</v>
          </cell>
        </row>
        <row r="5493">
          <cell r="U5493">
            <v>0</v>
          </cell>
          <cell r="Z5493">
            <v>0</v>
          </cell>
        </row>
        <row r="5494">
          <cell r="U5494">
            <v>0</v>
          </cell>
          <cell r="Z5494">
            <v>0</v>
          </cell>
        </row>
        <row r="5495">
          <cell r="U5495">
            <v>0</v>
          </cell>
          <cell r="Z5495">
            <v>0</v>
          </cell>
        </row>
        <row r="5496">
          <cell r="U5496">
            <v>0</v>
          </cell>
          <cell r="Z5496">
            <v>0</v>
          </cell>
        </row>
        <row r="5497">
          <cell r="U5497">
            <v>0</v>
          </cell>
          <cell r="Z5497">
            <v>0</v>
          </cell>
        </row>
        <row r="5498">
          <cell r="U5498">
            <v>0</v>
          </cell>
          <cell r="Z5498">
            <v>0</v>
          </cell>
        </row>
        <row r="5499">
          <cell r="U5499">
            <v>0</v>
          </cell>
          <cell r="Z5499">
            <v>0</v>
          </cell>
        </row>
        <row r="5500">
          <cell r="U5500">
            <v>0</v>
          </cell>
          <cell r="Z5500">
            <v>0</v>
          </cell>
        </row>
        <row r="5501">
          <cell r="U5501">
            <v>0</v>
          </cell>
          <cell r="Z5501">
            <v>0</v>
          </cell>
        </row>
        <row r="5502">
          <cell r="U5502">
            <v>0</v>
          </cell>
          <cell r="Z5502">
            <v>0</v>
          </cell>
        </row>
        <row r="5503">
          <cell r="U5503">
            <v>0</v>
          </cell>
          <cell r="Z5503">
            <v>0</v>
          </cell>
        </row>
        <row r="5504">
          <cell r="U5504">
            <v>0</v>
          </cell>
          <cell r="Z5504">
            <v>0</v>
          </cell>
        </row>
        <row r="5505">
          <cell r="U5505">
            <v>0</v>
          </cell>
          <cell r="Z5505">
            <v>0</v>
          </cell>
        </row>
        <row r="5506">
          <cell r="U5506">
            <v>0</v>
          </cell>
          <cell r="Z5506">
            <v>0</v>
          </cell>
        </row>
        <row r="5507">
          <cell r="U5507">
            <v>0</v>
          </cell>
          <cell r="Z5507">
            <v>0</v>
          </cell>
        </row>
        <row r="5508">
          <cell r="U5508">
            <v>0</v>
          </cell>
          <cell r="Z5508">
            <v>0</v>
          </cell>
        </row>
        <row r="5509">
          <cell r="U5509">
            <v>0</v>
          </cell>
          <cell r="Z5509">
            <v>0</v>
          </cell>
        </row>
        <row r="5510">
          <cell r="U5510">
            <v>0</v>
          </cell>
          <cell r="Z5510">
            <v>0</v>
          </cell>
        </row>
        <row r="5511">
          <cell r="U5511">
            <v>0</v>
          </cell>
          <cell r="Z5511">
            <v>0</v>
          </cell>
        </row>
        <row r="5512">
          <cell r="U5512">
            <v>0</v>
          </cell>
          <cell r="Z5512">
            <v>0</v>
          </cell>
        </row>
        <row r="5513">
          <cell r="U5513">
            <v>0</v>
          </cell>
          <cell r="Z5513">
            <v>0</v>
          </cell>
        </row>
        <row r="5514">
          <cell r="U5514">
            <v>0</v>
          </cell>
          <cell r="Z5514">
            <v>0</v>
          </cell>
        </row>
        <row r="5515">
          <cell r="U5515">
            <v>0</v>
          </cell>
          <cell r="Z5515">
            <v>0</v>
          </cell>
        </row>
        <row r="5516">
          <cell r="U5516">
            <v>0</v>
          </cell>
          <cell r="Z5516">
            <v>0</v>
          </cell>
        </row>
        <row r="5517">
          <cell r="U5517">
            <v>0</v>
          </cell>
          <cell r="Z5517">
            <v>0</v>
          </cell>
        </row>
        <row r="5518">
          <cell r="U5518">
            <v>0</v>
          </cell>
          <cell r="Z5518">
            <v>0</v>
          </cell>
        </row>
        <row r="5519">
          <cell r="U5519">
            <v>0</v>
          </cell>
          <cell r="Z5519">
            <v>0</v>
          </cell>
        </row>
        <row r="5520">
          <cell r="U5520">
            <v>0</v>
          </cell>
          <cell r="Z5520">
            <v>0</v>
          </cell>
        </row>
        <row r="5521">
          <cell r="U5521">
            <v>0</v>
          </cell>
          <cell r="Z5521">
            <v>0</v>
          </cell>
        </row>
        <row r="5522">
          <cell r="U5522">
            <v>0</v>
          </cell>
          <cell r="Z5522">
            <v>0</v>
          </cell>
        </row>
        <row r="5523">
          <cell r="U5523">
            <v>0</v>
          </cell>
          <cell r="Z5523">
            <v>0</v>
          </cell>
        </row>
        <row r="5524">
          <cell r="U5524">
            <v>0</v>
          </cell>
          <cell r="Z5524">
            <v>0</v>
          </cell>
        </row>
        <row r="5525">
          <cell r="U5525">
            <v>0</v>
          </cell>
          <cell r="Z5525">
            <v>0</v>
          </cell>
        </row>
        <row r="5526">
          <cell r="U5526">
            <v>0</v>
          </cell>
          <cell r="Z5526">
            <v>0</v>
          </cell>
        </row>
        <row r="5527">
          <cell r="U5527">
            <v>0</v>
          </cell>
          <cell r="Z5527">
            <v>0</v>
          </cell>
        </row>
        <row r="5528">
          <cell r="U5528">
            <v>0</v>
          </cell>
          <cell r="Z5528">
            <v>0</v>
          </cell>
        </row>
        <row r="5529">
          <cell r="U5529">
            <v>0</v>
          </cell>
          <cell r="Z5529">
            <v>0</v>
          </cell>
        </row>
        <row r="5530">
          <cell r="U5530">
            <v>0</v>
          </cell>
          <cell r="Z5530">
            <v>0</v>
          </cell>
        </row>
        <row r="5531">
          <cell r="U5531">
            <v>0</v>
          </cell>
          <cell r="Z5531">
            <v>0</v>
          </cell>
        </row>
        <row r="5532">
          <cell r="U5532">
            <v>0</v>
          </cell>
          <cell r="Z5532">
            <v>0</v>
          </cell>
        </row>
        <row r="5533">
          <cell r="U5533">
            <v>0</v>
          </cell>
          <cell r="Z5533">
            <v>0</v>
          </cell>
        </row>
        <row r="5534">
          <cell r="U5534">
            <v>0</v>
          </cell>
          <cell r="Z5534">
            <v>0</v>
          </cell>
        </row>
        <row r="5535">
          <cell r="U5535">
            <v>0</v>
          </cell>
          <cell r="Z5535">
            <v>0</v>
          </cell>
        </row>
        <row r="5536">
          <cell r="U5536">
            <v>0</v>
          </cell>
          <cell r="Z5536">
            <v>0</v>
          </cell>
        </row>
        <row r="5537">
          <cell r="U5537">
            <v>0</v>
          </cell>
          <cell r="Z5537">
            <v>0</v>
          </cell>
        </row>
        <row r="5538">
          <cell r="U5538">
            <v>0</v>
          </cell>
          <cell r="Z5538">
            <v>0</v>
          </cell>
        </row>
        <row r="5539">
          <cell r="U5539">
            <v>0</v>
          </cell>
          <cell r="Z5539">
            <v>0</v>
          </cell>
        </row>
        <row r="5540">
          <cell r="U5540">
            <v>0</v>
          </cell>
          <cell r="Z5540">
            <v>0</v>
          </cell>
        </row>
        <row r="5541">
          <cell r="U5541">
            <v>0</v>
          </cell>
          <cell r="Z5541">
            <v>0</v>
          </cell>
        </row>
        <row r="5542">
          <cell r="U5542">
            <v>0</v>
          </cell>
          <cell r="Z5542">
            <v>0</v>
          </cell>
        </row>
        <row r="5543">
          <cell r="U5543">
            <v>0</v>
          </cell>
          <cell r="Z5543">
            <v>0</v>
          </cell>
        </row>
        <row r="5544">
          <cell r="U5544">
            <v>0</v>
          </cell>
          <cell r="Z5544">
            <v>0</v>
          </cell>
        </row>
        <row r="5545">
          <cell r="U5545">
            <v>0</v>
          </cell>
          <cell r="Z5545">
            <v>0</v>
          </cell>
        </row>
        <row r="5546">
          <cell r="U5546">
            <v>0</v>
          </cell>
          <cell r="Z5546">
            <v>0</v>
          </cell>
        </row>
        <row r="5547">
          <cell r="U5547">
            <v>0</v>
          </cell>
          <cell r="Z5547">
            <v>0</v>
          </cell>
        </row>
        <row r="5548">
          <cell r="U5548">
            <v>0</v>
          </cell>
          <cell r="Z5548">
            <v>0</v>
          </cell>
        </row>
        <row r="5549">
          <cell r="U5549">
            <v>0</v>
          </cell>
          <cell r="Z5549">
            <v>0</v>
          </cell>
        </row>
        <row r="5550">
          <cell r="U5550">
            <v>0</v>
          </cell>
          <cell r="Z5550">
            <v>0</v>
          </cell>
        </row>
        <row r="5551">
          <cell r="U5551">
            <v>0</v>
          </cell>
          <cell r="Z5551">
            <v>0</v>
          </cell>
        </row>
        <row r="5552">
          <cell r="U5552">
            <v>0</v>
          </cell>
          <cell r="Z5552">
            <v>0</v>
          </cell>
        </row>
        <row r="5553">
          <cell r="U5553">
            <v>0</v>
          </cell>
          <cell r="Z5553">
            <v>0</v>
          </cell>
        </row>
        <row r="5554">
          <cell r="U5554">
            <v>0</v>
          </cell>
          <cell r="Z5554">
            <v>0</v>
          </cell>
        </row>
        <row r="5555">
          <cell r="U5555">
            <v>0</v>
          </cell>
          <cell r="Z5555">
            <v>0</v>
          </cell>
        </row>
        <row r="5556">
          <cell r="U5556">
            <v>0</v>
          </cell>
          <cell r="Z5556">
            <v>0</v>
          </cell>
        </row>
        <row r="5557">
          <cell r="U5557">
            <v>0</v>
          </cell>
          <cell r="Z5557">
            <v>0</v>
          </cell>
        </row>
        <row r="5558">
          <cell r="U5558">
            <v>0</v>
          </cell>
          <cell r="Z5558">
            <v>0</v>
          </cell>
        </row>
        <row r="5559">
          <cell r="U5559">
            <v>0</v>
          </cell>
          <cell r="Z5559">
            <v>0</v>
          </cell>
        </row>
        <row r="5560">
          <cell r="U5560">
            <v>0</v>
          </cell>
          <cell r="Z5560">
            <v>0</v>
          </cell>
        </row>
        <row r="5561">
          <cell r="U5561">
            <v>0</v>
          </cell>
          <cell r="Z5561">
            <v>0</v>
          </cell>
        </row>
        <row r="5562">
          <cell r="U5562">
            <v>0</v>
          </cell>
          <cell r="Z5562">
            <v>0</v>
          </cell>
        </row>
        <row r="5563">
          <cell r="U5563">
            <v>0</v>
          </cell>
          <cell r="Z5563">
            <v>0</v>
          </cell>
        </row>
        <row r="5564">
          <cell r="U5564">
            <v>0</v>
          </cell>
          <cell r="Z5564">
            <v>0</v>
          </cell>
        </row>
        <row r="5565">
          <cell r="U5565">
            <v>0</v>
          </cell>
          <cell r="Z5565">
            <v>0</v>
          </cell>
        </row>
        <row r="5566">
          <cell r="U5566">
            <v>0</v>
          </cell>
          <cell r="Z5566">
            <v>0</v>
          </cell>
        </row>
        <row r="5567">
          <cell r="U5567">
            <v>0</v>
          </cell>
          <cell r="Z5567">
            <v>0</v>
          </cell>
        </row>
        <row r="5568">
          <cell r="U5568">
            <v>0</v>
          </cell>
          <cell r="Z5568">
            <v>0</v>
          </cell>
        </row>
        <row r="5569">
          <cell r="U5569">
            <v>0</v>
          </cell>
          <cell r="Z5569">
            <v>0</v>
          </cell>
        </row>
        <row r="5570">
          <cell r="U5570">
            <v>0</v>
          </cell>
          <cell r="Z5570">
            <v>0</v>
          </cell>
        </row>
        <row r="5571">
          <cell r="U5571">
            <v>0</v>
          </cell>
          <cell r="Z5571">
            <v>0</v>
          </cell>
        </row>
        <row r="5572">
          <cell r="U5572">
            <v>0</v>
          </cell>
          <cell r="Z5572">
            <v>0</v>
          </cell>
        </row>
        <row r="5573">
          <cell r="U5573">
            <v>0</v>
          </cell>
          <cell r="Z5573">
            <v>0</v>
          </cell>
        </row>
        <row r="5574">
          <cell r="U5574">
            <v>0</v>
          </cell>
          <cell r="Z5574">
            <v>0</v>
          </cell>
        </row>
        <row r="5575">
          <cell r="U5575">
            <v>0</v>
          </cell>
          <cell r="Z5575">
            <v>0</v>
          </cell>
        </row>
        <row r="5576">
          <cell r="U5576">
            <v>0</v>
          </cell>
          <cell r="Z5576">
            <v>0</v>
          </cell>
        </row>
        <row r="5577">
          <cell r="U5577">
            <v>0</v>
          </cell>
          <cell r="Z5577">
            <v>0</v>
          </cell>
        </row>
        <row r="5578">
          <cell r="U5578">
            <v>0</v>
          </cell>
          <cell r="Z5578">
            <v>0</v>
          </cell>
        </row>
        <row r="5579">
          <cell r="U5579">
            <v>0</v>
          </cell>
          <cell r="Z5579">
            <v>0</v>
          </cell>
        </row>
        <row r="5580">
          <cell r="U5580">
            <v>0</v>
          </cell>
          <cell r="Z5580">
            <v>0</v>
          </cell>
        </row>
        <row r="5581">
          <cell r="U5581">
            <v>0</v>
          </cell>
          <cell r="Z5581">
            <v>0</v>
          </cell>
        </row>
        <row r="5582">
          <cell r="U5582">
            <v>0</v>
          </cell>
          <cell r="Z5582">
            <v>0</v>
          </cell>
        </row>
        <row r="5583">
          <cell r="U5583">
            <v>0</v>
          </cell>
          <cell r="Z5583">
            <v>0</v>
          </cell>
        </row>
        <row r="5584">
          <cell r="U5584">
            <v>0</v>
          </cell>
          <cell r="Z5584">
            <v>0</v>
          </cell>
        </row>
        <row r="5585">
          <cell r="U5585">
            <v>0</v>
          </cell>
          <cell r="Z5585">
            <v>0</v>
          </cell>
        </row>
        <row r="5586">
          <cell r="U5586">
            <v>0</v>
          </cell>
          <cell r="Z5586">
            <v>0</v>
          </cell>
        </row>
        <row r="5587">
          <cell r="U5587">
            <v>0</v>
          </cell>
          <cell r="Z5587">
            <v>0</v>
          </cell>
        </row>
        <row r="5588">
          <cell r="U5588">
            <v>0</v>
          </cell>
          <cell r="Z5588">
            <v>0</v>
          </cell>
        </row>
        <row r="5589">
          <cell r="U5589">
            <v>0</v>
          </cell>
          <cell r="Z5589">
            <v>0</v>
          </cell>
        </row>
        <row r="5590">
          <cell r="U5590">
            <v>0</v>
          </cell>
          <cell r="Z5590">
            <v>0</v>
          </cell>
        </row>
        <row r="5591">
          <cell r="U5591">
            <v>0</v>
          </cell>
          <cell r="Z5591">
            <v>0</v>
          </cell>
        </row>
        <row r="5592">
          <cell r="U5592">
            <v>0</v>
          </cell>
          <cell r="Z5592">
            <v>0</v>
          </cell>
        </row>
        <row r="5593">
          <cell r="U5593">
            <v>0</v>
          </cell>
          <cell r="Z5593">
            <v>0</v>
          </cell>
        </row>
        <row r="5594">
          <cell r="U5594">
            <v>0</v>
          </cell>
          <cell r="Z5594">
            <v>0</v>
          </cell>
        </row>
        <row r="5595">
          <cell r="U5595">
            <v>0</v>
          </cell>
          <cell r="Z5595">
            <v>0</v>
          </cell>
        </row>
        <row r="5596">
          <cell r="U5596">
            <v>0</v>
          </cell>
          <cell r="Z5596">
            <v>0</v>
          </cell>
        </row>
        <row r="5597">
          <cell r="U5597">
            <v>0</v>
          </cell>
          <cell r="Z5597">
            <v>0</v>
          </cell>
        </row>
        <row r="5598">
          <cell r="U5598">
            <v>0</v>
          </cell>
          <cell r="Z5598">
            <v>0</v>
          </cell>
        </row>
        <row r="5599">
          <cell r="U5599">
            <v>0</v>
          </cell>
          <cell r="Z5599">
            <v>0</v>
          </cell>
        </row>
        <row r="5600">
          <cell r="U5600">
            <v>0</v>
          </cell>
          <cell r="Z5600">
            <v>0</v>
          </cell>
        </row>
        <row r="5601">
          <cell r="U5601">
            <v>0</v>
          </cell>
          <cell r="Z5601">
            <v>0</v>
          </cell>
        </row>
        <row r="5602">
          <cell r="U5602">
            <v>0</v>
          </cell>
          <cell r="Z5602">
            <v>0</v>
          </cell>
        </row>
        <row r="5603">
          <cell r="U5603">
            <v>0</v>
          </cell>
          <cell r="Z5603">
            <v>0</v>
          </cell>
        </row>
        <row r="5604">
          <cell r="U5604">
            <v>0</v>
          </cell>
          <cell r="Z5604">
            <v>0</v>
          </cell>
        </row>
        <row r="5605">
          <cell r="U5605">
            <v>0</v>
          </cell>
          <cell r="Z5605">
            <v>0</v>
          </cell>
        </row>
        <row r="5606">
          <cell r="U5606">
            <v>0</v>
          </cell>
          <cell r="Z5606">
            <v>0</v>
          </cell>
        </row>
        <row r="5607">
          <cell r="U5607">
            <v>0</v>
          </cell>
          <cell r="Z5607">
            <v>0</v>
          </cell>
        </row>
        <row r="5608">
          <cell r="U5608">
            <v>0</v>
          </cell>
          <cell r="Z5608">
            <v>0</v>
          </cell>
        </row>
        <row r="5609">
          <cell r="U5609">
            <v>0</v>
          </cell>
          <cell r="Z5609">
            <v>0</v>
          </cell>
        </row>
        <row r="5610">
          <cell r="U5610">
            <v>0</v>
          </cell>
          <cell r="Z5610">
            <v>0</v>
          </cell>
        </row>
        <row r="5611">
          <cell r="U5611">
            <v>0</v>
          </cell>
          <cell r="Z5611">
            <v>0</v>
          </cell>
        </row>
        <row r="5612">
          <cell r="U5612">
            <v>0</v>
          </cell>
          <cell r="Z5612">
            <v>0</v>
          </cell>
        </row>
        <row r="5613">
          <cell r="U5613">
            <v>0</v>
          </cell>
          <cell r="Z5613">
            <v>0</v>
          </cell>
        </row>
        <row r="5614">
          <cell r="U5614">
            <v>0</v>
          </cell>
          <cell r="Z5614">
            <v>0</v>
          </cell>
        </row>
        <row r="5615">
          <cell r="U5615">
            <v>0</v>
          </cell>
          <cell r="Z5615">
            <v>0</v>
          </cell>
        </row>
        <row r="5616">
          <cell r="U5616">
            <v>0</v>
          </cell>
          <cell r="Z5616">
            <v>0</v>
          </cell>
        </row>
        <row r="5617">
          <cell r="U5617">
            <v>0</v>
          </cell>
          <cell r="Z5617">
            <v>0</v>
          </cell>
        </row>
        <row r="5618">
          <cell r="U5618">
            <v>0</v>
          </cell>
          <cell r="Z5618">
            <v>0</v>
          </cell>
        </row>
        <row r="5619">
          <cell r="U5619">
            <v>0</v>
          </cell>
          <cell r="Z5619">
            <v>0</v>
          </cell>
        </row>
        <row r="5620">
          <cell r="U5620">
            <v>0</v>
          </cell>
          <cell r="Z5620">
            <v>0</v>
          </cell>
        </row>
        <row r="5621">
          <cell r="U5621">
            <v>0</v>
          </cell>
          <cell r="Z5621">
            <v>0</v>
          </cell>
        </row>
        <row r="5622">
          <cell r="U5622">
            <v>0</v>
          </cell>
          <cell r="Z5622">
            <v>0</v>
          </cell>
        </row>
        <row r="5623">
          <cell r="U5623">
            <v>0</v>
          </cell>
          <cell r="Z5623">
            <v>0</v>
          </cell>
        </row>
        <row r="5624">
          <cell r="U5624">
            <v>0</v>
          </cell>
          <cell r="Z5624">
            <v>0</v>
          </cell>
        </row>
        <row r="5625">
          <cell r="U5625">
            <v>0</v>
          </cell>
          <cell r="Z5625">
            <v>0</v>
          </cell>
        </row>
        <row r="5626">
          <cell r="U5626">
            <v>0</v>
          </cell>
          <cell r="Z5626">
            <v>0</v>
          </cell>
        </row>
        <row r="5627">
          <cell r="U5627">
            <v>0</v>
          </cell>
          <cell r="Z5627">
            <v>0</v>
          </cell>
        </row>
        <row r="5628">
          <cell r="U5628">
            <v>0</v>
          </cell>
          <cell r="Z5628">
            <v>0</v>
          </cell>
        </row>
        <row r="5629">
          <cell r="U5629">
            <v>0</v>
          </cell>
          <cell r="Z5629">
            <v>0</v>
          </cell>
        </row>
        <row r="5630">
          <cell r="U5630">
            <v>0</v>
          </cell>
          <cell r="Z5630">
            <v>0</v>
          </cell>
        </row>
        <row r="5631">
          <cell r="U5631">
            <v>0</v>
          </cell>
          <cell r="Z5631">
            <v>0</v>
          </cell>
        </row>
        <row r="5632">
          <cell r="U5632">
            <v>0</v>
          </cell>
          <cell r="Z5632">
            <v>0</v>
          </cell>
        </row>
        <row r="5633">
          <cell r="U5633">
            <v>0</v>
          </cell>
          <cell r="Z5633">
            <v>0</v>
          </cell>
        </row>
        <row r="5634">
          <cell r="U5634">
            <v>0</v>
          </cell>
          <cell r="Z5634">
            <v>0</v>
          </cell>
        </row>
        <row r="5635">
          <cell r="U5635">
            <v>0</v>
          </cell>
          <cell r="Z5635">
            <v>0</v>
          </cell>
        </row>
        <row r="5636">
          <cell r="U5636">
            <v>0</v>
          </cell>
          <cell r="Z5636">
            <v>0</v>
          </cell>
        </row>
        <row r="5637">
          <cell r="U5637">
            <v>0</v>
          </cell>
          <cell r="Z5637">
            <v>0</v>
          </cell>
        </row>
        <row r="5638">
          <cell r="U5638">
            <v>0</v>
          </cell>
          <cell r="Z5638">
            <v>0</v>
          </cell>
        </row>
        <row r="5639">
          <cell r="U5639">
            <v>0</v>
          </cell>
          <cell r="Z5639">
            <v>0</v>
          </cell>
        </row>
        <row r="5640">
          <cell r="U5640">
            <v>0</v>
          </cell>
          <cell r="Z5640">
            <v>0</v>
          </cell>
        </row>
        <row r="5641">
          <cell r="U5641">
            <v>0</v>
          </cell>
          <cell r="Z5641">
            <v>0</v>
          </cell>
        </row>
        <row r="5642">
          <cell r="U5642">
            <v>0</v>
          </cell>
          <cell r="Z5642">
            <v>0</v>
          </cell>
        </row>
        <row r="5643">
          <cell r="U5643">
            <v>0</v>
          </cell>
          <cell r="Z5643">
            <v>0</v>
          </cell>
        </row>
        <row r="5644">
          <cell r="U5644">
            <v>0</v>
          </cell>
          <cell r="Z5644">
            <v>0</v>
          </cell>
        </row>
        <row r="5645">
          <cell r="U5645">
            <v>0</v>
          </cell>
          <cell r="Z5645">
            <v>0</v>
          </cell>
        </row>
        <row r="5646">
          <cell r="U5646">
            <v>0</v>
          </cell>
          <cell r="Z5646">
            <v>0</v>
          </cell>
        </row>
        <row r="5647">
          <cell r="U5647">
            <v>0</v>
          </cell>
          <cell r="Z5647">
            <v>0</v>
          </cell>
        </row>
        <row r="5648">
          <cell r="U5648">
            <v>0</v>
          </cell>
          <cell r="Z5648">
            <v>0</v>
          </cell>
        </row>
        <row r="5649">
          <cell r="U5649">
            <v>0</v>
          </cell>
          <cell r="Z5649">
            <v>0</v>
          </cell>
        </row>
        <row r="5650">
          <cell r="U5650">
            <v>0</v>
          </cell>
          <cell r="Z5650">
            <v>0</v>
          </cell>
        </row>
        <row r="5651">
          <cell r="U5651">
            <v>0</v>
          </cell>
          <cell r="Z5651">
            <v>0</v>
          </cell>
        </row>
        <row r="5652">
          <cell r="U5652">
            <v>0</v>
          </cell>
          <cell r="Z5652">
            <v>0</v>
          </cell>
        </row>
        <row r="5653">
          <cell r="U5653">
            <v>0</v>
          </cell>
          <cell r="Z5653">
            <v>0</v>
          </cell>
        </row>
        <row r="5654">
          <cell r="U5654">
            <v>0</v>
          </cell>
          <cell r="Z5654">
            <v>0</v>
          </cell>
        </row>
        <row r="5655">
          <cell r="U5655">
            <v>0</v>
          </cell>
          <cell r="Z5655">
            <v>0</v>
          </cell>
        </row>
        <row r="5656">
          <cell r="U5656">
            <v>0</v>
          </cell>
          <cell r="Z5656">
            <v>0</v>
          </cell>
        </row>
        <row r="5657">
          <cell r="U5657">
            <v>0</v>
          </cell>
          <cell r="Z5657">
            <v>0</v>
          </cell>
        </row>
        <row r="5658">
          <cell r="U5658">
            <v>0</v>
          </cell>
          <cell r="Z5658">
            <v>0</v>
          </cell>
        </row>
        <row r="5659">
          <cell r="U5659">
            <v>0</v>
          </cell>
          <cell r="Z5659">
            <v>0</v>
          </cell>
        </row>
        <row r="5660">
          <cell r="U5660">
            <v>0</v>
          </cell>
          <cell r="Z5660">
            <v>0</v>
          </cell>
        </row>
        <row r="5661">
          <cell r="U5661">
            <v>0</v>
          </cell>
          <cell r="Z5661">
            <v>0</v>
          </cell>
        </row>
        <row r="5662">
          <cell r="U5662">
            <v>0</v>
          </cell>
          <cell r="Z5662">
            <v>0</v>
          </cell>
        </row>
        <row r="5663">
          <cell r="U5663">
            <v>0</v>
          </cell>
          <cell r="Z5663">
            <v>0</v>
          </cell>
        </row>
        <row r="5664">
          <cell r="U5664">
            <v>0</v>
          </cell>
          <cell r="Z5664">
            <v>0</v>
          </cell>
        </row>
        <row r="5665">
          <cell r="U5665">
            <v>0</v>
          </cell>
          <cell r="Z5665">
            <v>0</v>
          </cell>
        </row>
        <row r="5666">
          <cell r="U5666">
            <v>0</v>
          </cell>
          <cell r="Z5666">
            <v>0</v>
          </cell>
        </row>
        <row r="5667">
          <cell r="U5667">
            <v>0</v>
          </cell>
          <cell r="Z5667">
            <v>0</v>
          </cell>
        </row>
        <row r="5668">
          <cell r="U5668">
            <v>0</v>
          </cell>
          <cell r="Z5668">
            <v>0</v>
          </cell>
        </row>
        <row r="5669">
          <cell r="U5669">
            <v>0</v>
          </cell>
          <cell r="Z5669">
            <v>0</v>
          </cell>
        </row>
        <row r="5670">
          <cell r="U5670">
            <v>0</v>
          </cell>
          <cell r="Z5670">
            <v>0</v>
          </cell>
        </row>
        <row r="5671">
          <cell r="U5671">
            <v>0</v>
          </cell>
          <cell r="Z5671">
            <v>0</v>
          </cell>
        </row>
        <row r="5672">
          <cell r="U5672">
            <v>0</v>
          </cell>
          <cell r="Z5672">
            <v>0</v>
          </cell>
        </row>
        <row r="5673">
          <cell r="U5673">
            <v>0</v>
          </cell>
          <cell r="Z5673">
            <v>0</v>
          </cell>
        </row>
        <row r="5674">
          <cell r="U5674">
            <v>0</v>
          </cell>
          <cell r="Z5674">
            <v>0</v>
          </cell>
        </row>
        <row r="5675">
          <cell r="U5675">
            <v>0</v>
          </cell>
          <cell r="Z5675">
            <v>0</v>
          </cell>
        </row>
        <row r="5676">
          <cell r="U5676">
            <v>0</v>
          </cell>
          <cell r="Z5676">
            <v>0</v>
          </cell>
        </row>
        <row r="5677">
          <cell r="U5677">
            <v>0</v>
          </cell>
          <cell r="Z5677">
            <v>0</v>
          </cell>
        </row>
        <row r="5678">
          <cell r="U5678">
            <v>0</v>
          </cell>
          <cell r="Z5678">
            <v>0</v>
          </cell>
        </row>
        <row r="5679">
          <cell r="U5679">
            <v>0</v>
          </cell>
          <cell r="Z5679">
            <v>0</v>
          </cell>
        </row>
        <row r="5680">
          <cell r="U5680">
            <v>0</v>
          </cell>
          <cell r="Z5680">
            <v>0</v>
          </cell>
        </row>
        <row r="5681">
          <cell r="U5681">
            <v>0</v>
          </cell>
          <cell r="Z5681">
            <v>0</v>
          </cell>
        </row>
        <row r="5682">
          <cell r="U5682">
            <v>0</v>
          </cell>
          <cell r="Z5682">
            <v>0</v>
          </cell>
        </row>
        <row r="5683">
          <cell r="U5683">
            <v>0</v>
          </cell>
          <cell r="Z5683">
            <v>0</v>
          </cell>
        </row>
        <row r="5684">
          <cell r="U5684">
            <v>0</v>
          </cell>
          <cell r="Z5684">
            <v>0</v>
          </cell>
        </row>
        <row r="5685">
          <cell r="U5685">
            <v>0</v>
          </cell>
          <cell r="Z5685">
            <v>0</v>
          </cell>
        </row>
        <row r="5686">
          <cell r="U5686">
            <v>0</v>
          </cell>
          <cell r="Z5686">
            <v>0</v>
          </cell>
        </row>
        <row r="5687">
          <cell r="U5687">
            <v>0</v>
          </cell>
          <cell r="Z5687">
            <v>0</v>
          </cell>
        </row>
        <row r="5688">
          <cell r="U5688">
            <v>0</v>
          </cell>
          <cell r="Z5688">
            <v>0</v>
          </cell>
        </row>
        <row r="5689">
          <cell r="U5689">
            <v>0</v>
          </cell>
          <cell r="Z5689">
            <v>0</v>
          </cell>
        </row>
        <row r="5690">
          <cell r="U5690">
            <v>0</v>
          </cell>
          <cell r="Z5690">
            <v>0</v>
          </cell>
        </row>
        <row r="5691">
          <cell r="U5691">
            <v>0</v>
          </cell>
          <cell r="Z5691">
            <v>0</v>
          </cell>
        </row>
        <row r="5692">
          <cell r="U5692">
            <v>0</v>
          </cell>
          <cell r="Z5692">
            <v>0</v>
          </cell>
        </row>
        <row r="5693">
          <cell r="U5693">
            <v>0</v>
          </cell>
          <cell r="Z5693">
            <v>0</v>
          </cell>
        </row>
        <row r="5694">
          <cell r="U5694">
            <v>0</v>
          </cell>
          <cell r="Z5694">
            <v>0</v>
          </cell>
        </row>
        <row r="5695">
          <cell r="U5695">
            <v>0</v>
          </cell>
          <cell r="Z5695">
            <v>0</v>
          </cell>
        </row>
        <row r="5696">
          <cell r="U5696">
            <v>0</v>
          </cell>
          <cell r="Z5696">
            <v>0</v>
          </cell>
        </row>
        <row r="5697">
          <cell r="U5697">
            <v>0</v>
          </cell>
          <cell r="Z5697">
            <v>0</v>
          </cell>
        </row>
        <row r="5698">
          <cell r="U5698">
            <v>0</v>
          </cell>
          <cell r="Z5698">
            <v>0</v>
          </cell>
        </row>
        <row r="5699">
          <cell r="U5699">
            <v>0</v>
          </cell>
          <cell r="Z5699">
            <v>0</v>
          </cell>
        </row>
        <row r="5700">
          <cell r="U5700">
            <v>0</v>
          </cell>
          <cell r="Z5700">
            <v>0</v>
          </cell>
        </row>
        <row r="5701">
          <cell r="U5701">
            <v>0</v>
          </cell>
          <cell r="Z5701">
            <v>0</v>
          </cell>
        </row>
        <row r="5702">
          <cell r="U5702">
            <v>0</v>
          </cell>
          <cell r="Z5702">
            <v>0</v>
          </cell>
        </row>
        <row r="5703">
          <cell r="U5703">
            <v>0</v>
          </cell>
          <cell r="Z5703">
            <v>0</v>
          </cell>
        </row>
        <row r="5704">
          <cell r="U5704">
            <v>0</v>
          </cell>
          <cell r="Z5704">
            <v>0</v>
          </cell>
        </row>
        <row r="5705">
          <cell r="U5705">
            <v>0</v>
          </cell>
          <cell r="Z5705">
            <v>0</v>
          </cell>
        </row>
        <row r="5706">
          <cell r="U5706">
            <v>0</v>
          </cell>
          <cell r="Z5706">
            <v>0</v>
          </cell>
        </row>
        <row r="5707">
          <cell r="U5707">
            <v>0</v>
          </cell>
          <cell r="Z5707">
            <v>0</v>
          </cell>
        </row>
        <row r="5708">
          <cell r="U5708">
            <v>0</v>
          </cell>
          <cell r="Z5708">
            <v>0</v>
          </cell>
        </row>
        <row r="5709">
          <cell r="U5709">
            <v>0</v>
          </cell>
          <cell r="Z5709">
            <v>0</v>
          </cell>
        </row>
        <row r="5710">
          <cell r="U5710">
            <v>0</v>
          </cell>
          <cell r="Z5710">
            <v>0</v>
          </cell>
        </row>
        <row r="5711">
          <cell r="U5711">
            <v>0</v>
          </cell>
          <cell r="Z5711">
            <v>0</v>
          </cell>
        </row>
        <row r="5712">
          <cell r="U5712">
            <v>0</v>
          </cell>
          <cell r="Z5712">
            <v>0</v>
          </cell>
        </row>
        <row r="5713">
          <cell r="U5713">
            <v>0</v>
          </cell>
          <cell r="Z5713">
            <v>0</v>
          </cell>
        </row>
        <row r="5714">
          <cell r="U5714">
            <v>0</v>
          </cell>
          <cell r="Z5714">
            <v>0</v>
          </cell>
        </row>
        <row r="5715">
          <cell r="U5715">
            <v>0</v>
          </cell>
          <cell r="Z5715">
            <v>0</v>
          </cell>
        </row>
        <row r="5716">
          <cell r="U5716">
            <v>0</v>
          </cell>
          <cell r="Z5716">
            <v>0</v>
          </cell>
        </row>
        <row r="5717">
          <cell r="U5717">
            <v>0</v>
          </cell>
          <cell r="Z5717">
            <v>0</v>
          </cell>
        </row>
        <row r="5718">
          <cell r="U5718">
            <v>0</v>
          </cell>
          <cell r="Z5718">
            <v>0</v>
          </cell>
        </row>
        <row r="5719">
          <cell r="U5719">
            <v>0</v>
          </cell>
          <cell r="Z5719">
            <v>0</v>
          </cell>
        </row>
        <row r="5720">
          <cell r="U5720">
            <v>0</v>
          </cell>
          <cell r="Z5720">
            <v>0</v>
          </cell>
        </row>
        <row r="5721">
          <cell r="U5721">
            <v>0</v>
          </cell>
          <cell r="Z5721">
            <v>0</v>
          </cell>
        </row>
        <row r="5722">
          <cell r="U5722">
            <v>0</v>
          </cell>
          <cell r="Z5722">
            <v>0</v>
          </cell>
        </row>
        <row r="5723">
          <cell r="U5723">
            <v>0</v>
          </cell>
          <cell r="Z5723">
            <v>0</v>
          </cell>
        </row>
        <row r="5724">
          <cell r="U5724">
            <v>0</v>
          </cell>
          <cell r="Z5724">
            <v>0</v>
          </cell>
        </row>
        <row r="5725">
          <cell r="U5725">
            <v>0</v>
          </cell>
          <cell r="Z5725">
            <v>0</v>
          </cell>
        </row>
        <row r="5726">
          <cell r="U5726">
            <v>0</v>
          </cell>
          <cell r="Z5726">
            <v>0</v>
          </cell>
        </row>
        <row r="5727">
          <cell r="U5727">
            <v>0</v>
          </cell>
          <cell r="Z5727">
            <v>0</v>
          </cell>
        </row>
        <row r="5728">
          <cell r="U5728">
            <v>0</v>
          </cell>
          <cell r="Z5728">
            <v>0</v>
          </cell>
        </row>
        <row r="5729">
          <cell r="U5729">
            <v>0</v>
          </cell>
          <cell r="Z5729">
            <v>0</v>
          </cell>
        </row>
        <row r="5730">
          <cell r="U5730">
            <v>0</v>
          </cell>
          <cell r="Z5730">
            <v>0</v>
          </cell>
        </row>
        <row r="5731">
          <cell r="U5731">
            <v>0</v>
          </cell>
          <cell r="Z5731">
            <v>0</v>
          </cell>
        </row>
        <row r="5732">
          <cell r="U5732">
            <v>0</v>
          </cell>
          <cell r="Z5732">
            <v>0</v>
          </cell>
        </row>
        <row r="5733">
          <cell r="U5733">
            <v>0</v>
          </cell>
          <cell r="Z5733">
            <v>0</v>
          </cell>
        </row>
        <row r="5734">
          <cell r="U5734">
            <v>0</v>
          </cell>
          <cell r="Z5734">
            <v>0</v>
          </cell>
        </row>
        <row r="5735">
          <cell r="U5735">
            <v>0</v>
          </cell>
          <cell r="Z5735">
            <v>0</v>
          </cell>
        </row>
        <row r="5736">
          <cell r="U5736">
            <v>0</v>
          </cell>
          <cell r="Z5736">
            <v>0</v>
          </cell>
        </row>
        <row r="5737">
          <cell r="U5737">
            <v>0</v>
          </cell>
          <cell r="Z5737">
            <v>0</v>
          </cell>
        </row>
        <row r="5738">
          <cell r="U5738">
            <v>0</v>
          </cell>
          <cell r="Z5738">
            <v>0</v>
          </cell>
        </row>
        <row r="5739">
          <cell r="U5739">
            <v>0</v>
          </cell>
          <cell r="Z5739">
            <v>0</v>
          </cell>
        </row>
        <row r="5740">
          <cell r="U5740">
            <v>0</v>
          </cell>
          <cell r="Z5740">
            <v>0</v>
          </cell>
        </row>
        <row r="5741">
          <cell r="U5741">
            <v>0</v>
          </cell>
          <cell r="Z5741">
            <v>0</v>
          </cell>
        </row>
        <row r="5742">
          <cell r="U5742">
            <v>0</v>
          </cell>
          <cell r="Z5742">
            <v>0</v>
          </cell>
        </row>
        <row r="5743">
          <cell r="U5743">
            <v>0</v>
          </cell>
          <cell r="Z5743">
            <v>0</v>
          </cell>
        </row>
        <row r="5744">
          <cell r="U5744">
            <v>0</v>
          </cell>
          <cell r="Z5744">
            <v>0</v>
          </cell>
        </row>
        <row r="5745">
          <cell r="U5745">
            <v>0</v>
          </cell>
          <cell r="Z5745">
            <v>0</v>
          </cell>
        </row>
        <row r="5746">
          <cell r="U5746">
            <v>0</v>
          </cell>
          <cell r="Z5746">
            <v>0</v>
          </cell>
        </row>
        <row r="5747">
          <cell r="U5747">
            <v>0</v>
          </cell>
          <cell r="Z5747">
            <v>0</v>
          </cell>
        </row>
        <row r="5748">
          <cell r="U5748">
            <v>0</v>
          </cell>
          <cell r="Z5748">
            <v>0</v>
          </cell>
        </row>
        <row r="5749">
          <cell r="U5749">
            <v>0</v>
          </cell>
          <cell r="Z5749">
            <v>0</v>
          </cell>
        </row>
        <row r="5750">
          <cell r="U5750">
            <v>0</v>
          </cell>
          <cell r="Z5750">
            <v>0</v>
          </cell>
        </row>
        <row r="5751">
          <cell r="U5751">
            <v>0</v>
          </cell>
          <cell r="Z5751">
            <v>0</v>
          </cell>
        </row>
        <row r="5752">
          <cell r="U5752">
            <v>0</v>
          </cell>
          <cell r="Z5752">
            <v>0</v>
          </cell>
        </row>
        <row r="5753">
          <cell r="U5753">
            <v>0</v>
          </cell>
          <cell r="Z5753">
            <v>0</v>
          </cell>
        </row>
        <row r="5754">
          <cell r="U5754">
            <v>0</v>
          </cell>
          <cell r="Z5754">
            <v>0</v>
          </cell>
        </row>
        <row r="5755">
          <cell r="U5755">
            <v>0</v>
          </cell>
          <cell r="Z5755">
            <v>0</v>
          </cell>
        </row>
        <row r="5756">
          <cell r="U5756">
            <v>0</v>
          </cell>
          <cell r="Z5756">
            <v>0</v>
          </cell>
        </row>
        <row r="5757">
          <cell r="U5757">
            <v>0</v>
          </cell>
          <cell r="Z5757">
            <v>0</v>
          </cell>
        </row>
        <row r="5758">
          <cell r="U5758">
            <v>0</v>
          </cell>
          <cell r="Z5758">
            <v>0</v>
          </cell>
        </row>
        <row r="5759">
          <cell r="U5759">
            <v>0</v>
          </cell>
          <cell r="Z5759">
            <v>0</v>
          </cell>
        </row>
        <row r="5760">
          <cell r="U5760">
            <v>0</v>
          </cell>
          <cell r="Z5760">
            <v>0</v>
          </cell>
        </row>
        <row r="5761">
          <cell r="U5761">
            <v>0</v>
          </cell>
          <cell r="Z5761">
            <v>0</v>
          </cell>
        </row>
        <row r="5762">
          <cell r="U5762">
            <v>0</v>
          </cell>
          <cell r="Z5762">
            <v>0</v>
          </cell>
        </row>
        <row r="5763">
          <cell r="U5763">
            <v>0</v>
          </cell>
          <cell r="Z5763">
            <v>0</v>
          </cell>
        </row>
        <row r="5764">
          <cell r="U5764">
            <v>0</v>
          </cell>
          <cell r="Z5764">
            <v>0</v>
          </cell>
        </row>
        <row r="5765">
          <cell r="U5765">
            <v>0</v>
          </cell>
          <cell r="Z5765">
            <v>0</v>
          </cell>
        </row>
        <row r="5766">
          <cell r="U5766">
            <v>0</v>
          </cell>
          <cell r="Z5766">
            <v>0</v>
          </cell>
        </row>
        <row r="5767">
          <cell r="U5767">
            <v>0</v>
          </cell>
          <cell r="Z5767">
            <v>0</v>
          </cell>
        </row>
        <row r="5768">
          <cell r="U5768">
            <v>0</v>
          </cell>
          <cell r="Z5768">
            <v>0</v>
          </cell>
        </row>
        <row r="5769">
          <cell r="U5769">
            <v>0</v>
          </cell>
          <cell r="Z5769">
            <v>0</v>
          </cell>
        </row>
        <row r="5770">
          <cell r="U5770">
            <v>0</v>
          </cell>
          <cell r="Z5770">
            <v>0</v>
          </cell>
        </row>
        <row r="5771">
          <cell r="U5771">
            <v>0</v>
          </cell>
          <cell r="Z5771">
            <v>0</v>
          </cell>
        </row>
        <row r="5772">
          <cell r="U5772">
            <v>0</v>
          </cell>
          <cell r="Z5772">
            <v>0</v>
          </cell>
        </row>
        <row r="5773">
          <cell r="U5773">
            <v>0</v>
          </cell>
          <cell r="Z5773">
            <v>0</v>
          </cell>
        </row>
        <row r="5774">
          <cell r="U5774">
            <v>0</v>
          </cell>
          <cell r="Z5774">
            <v>0</v>
          </cell>
        </row>
        <row r="5775">
          <cell r="U5775">
            <v>0</v>
          </cell>
          <cell r="Z5775">
            <v>0</v>
          </cell>
        </row>
        <row r="5776">
          <cell r="U5776">
            <v>0</v>
          </cell>
          <cell r="Z5776">
            <v>0</v>
          </cell>
        </row>
        <row r="5777">
          <cell r="U5777">
            <v>0</v>
          </cell>
          <cell r="Z5777">
            <v>0</v>
          </cell>
        </row>
        <row r="5778">
          <cell r="U5778">
            <v>0</v>
          </cell>
          <cell r="Z5778">
            <v>0</v>
          </cell>
        </row>
        <row r="5779">
          <cell r="U5779">
            <v>0</v>
          </cell>
          <cell r="Z5779">
            <v>0</v>
          </cell>
        </row>
        <row r="5780">
          <cell r="U5780">
            <v>0</v>
          </cell>
          <cell r="Z5780">
            <v>0</v>
          </cell>
        </row>
        <row r="5781">
          <cell r="U5781">
            <v>0</v>
          </cell>
          <cell r="Z5781">
            <v>0</v>
          </cell>
        </row>
        <row r="5782">
          <cell r="U5782">
            <v>0</v>
          </cell>
          <cell r="Z5782">
            <v>0</v>
          </cell>
        </row>
        <row r="5783">
          <cell r="U5783">
            <v>0</v>
          </cell>
          <cell r="Z5783">
            <v>0</v>
          </cell>
        </row>
        <row r="5784">
          <cell r="U5784">
            <v>0</v>
          </cell>
          <cell r="Z5784">
            <v>0</v>
          </cell>
        </row>
        <row r="5785">
          <cell r="U5785">
            <v>0</v>
          </cell>
          <cell r="Z5785">
            <v>0</v>
          </cell>
        </row>
        <row r="5786">
          <cell r="U5786">
            <v>0</v>
          </cell>
          <cell r="Z5786">
            <v>0</v>
          </cell>
        </row>
        <row r="5787">
          <cell r="U5787">
            <v>0</v>
          </cell>
          <cell r="Z5787">
            <v>0</v>
          </cell>
        </row>
        <row r="5788">
          <cell r="U5788">
            <v>0</v>
          </cell>
          <cell r="Z5788">
            <v>0</v>
          </cell>
        </row>
        <row r="5789">
          <cell r="U5789">
            <v>0</v>
          </cell>
          <cell r="Z5789">
            <v>0</v>
          </cell>
        </row>
        <row r="5790">
          <cell r="U5790">
            <v>0</v>
          </cell>
          <cell r="Z5790">
            <v>0</v>
          </cell>
        </row>
        <row r="5791">
          <cell r="U5791">
            <v>0</v>
          </cell>
          <cell r="Z5791">
            <v>0</v>
          </cell>
        </row>
        <row r="5792">
          <cell r="U5792">
            <v>0</v>
          </cell>
          <cell r="Z5792">
            <v>0</v>
          </cell>
        </row>
        <row r="5793">
          <cell r="U5793">
            <v>0</v>
          </cell>
          <cell r="Z5793">
            <v>0</v>
          </cell>
        </row>
        <row r="5794">
          <cell r="U5794">
            <v>0</v>
          </cell>
          <cell r="Z5794">
            <v>0</v>
          </cell>
        </row>
        <row r="5795">
          <cell r="U5795">
            <v>0</v>
          </cell>
          <cell r="Z5795">
            <v>0</v>
          </cell>
        </row>
        <row r="5796">
          <cell r="U5796">
            <v>0</v>
          </cell>
          <cell r="Z5796">
            <v>0</v>
          </cell>
        </row>
        <row r="5797">
          <cell r="U5797">
            <v>0</v>
          </cell>
          <cell r="Z5797">
            <v>0</v>
          </cell>
        </row>
        <row r="5798">
          <cell r="U5798">
            <v>0</v>
          </cell>
          <cell r="Z5798">
            <v>0</v>
          </cell>
        </row>
        <row r="5799">
          <cell r="U5799">
            <v>0</v>
          </cell>
          <cell r="Z5799">
            <v>0</v>
          </cell>
        </row>
        <row r="5800">
          <cell r="U5800">
            <v>0</v>
          </cell>
          <cell r="Z5800">
            <v>0</v>
          </cell>
        </row>
        <row r="5801">
          <cell r="U5801">
            <v>0</v>
          </cell>
          <cell r="Z5801">
            <v>0</v>
          </cell>
        </row>
        <row r="5802">
          <cell r="U5802">
            <v>0</v>
          </cell>
          <cell r="Z5802">
            <v>0</v>
          </cell>
        </row>
        <row r="5803">
          <cell r="U5803">
            <v>0</v>
          </cell>
          <cell r="Z5803">
            <v>0</v>
          </cell>
        </row>
        <row r="5804">
          <cell r="U5804">
            <v>0</v>
          </cell>
          <cell r="Z5804">
            <v>0</v>
          </cell>
        </row>
        <row r="5805">
          <cell r="U5805">
            <v>0</v>
          </cell>
          <cell r="Z5805">
            <v>0</v>
          </cell>
        </row>
        <row r="5806">
          <cell r="U5806">
            <v>0</v>
          </cell>
          <cell r="Z5806">
            <v>0</v>
          </cell>
        </row>
        <row r="5807">
          <cell r="U5807">
            <v>0</v>
          </cell>
          <cell r="Z5807">
            <v>0</v>
          </cell>
        </row>
        <row r="5808">
          <cell r="U5808">
            <v>0</v>
          </cell>
          <cell r="Z5808">
            <v>0</v>
          </cell>
        </row>
        <row r="5809">
          <cell r="U5809">
            <v>0</v>
          </cell>
          <cell r="Z5809">
            <v>0</v>
          </cell>
        </row>
        <row r="5810">
          <cell r="U5810">
            <v>0</v>
          </cell>
          <cell r="Z5810">
            <v>0</v>
          </cell>
        </row>
        <row r="5811">
          <cell r="U5811">
            <v>0</v>
          </cell>
          <cell r="Z5811">
            <v>0</v>
          </cell>
        </row>
        <row r="5812">
          <cell r="U5812">
            <v>0</v>
          </cell>
          <cell r="Z5812">
            <v>0</v>
          </cell>
        </row>
        <row r="5813">
          <cell r="U5813">
            <v>0</v>
          </cell>
          <cell r="Z5813">
            <v>0</v>
          </cell>
        </row>
        <row r="5814">
          <cell r="U5814">
            <v>0</v>
          </cell>
          <cell r="Z5814">
            <v>0</v>
          </cell>
        </row>
        <row r="5815">
          <cell r="U5815">
            <v>0</v>
          </cell>
          <cell r="Z5815">
            <v>0</v>
          </cell>
        </row>
        <row r="5816">
          <cell r="U5816">
            <v>0</v>
          </cell>
          <cell r="Z5816">
            <v>0</v>
          </cell>
        </row>
        <row r="5817">
          <cell r="U5817">
            <v>0</v>
          </cell>
          <cell r="Z5817">
            <v>0</v>
          </cell>
        </row>
        <row r="5818">
          <cell r="U5818">
            <v>0</v>
          </cell>
          <cell r="Z5818">
            <v>0</v>
          </cell>
        </row>
        <row r="5819">
          <cell r="U5819">
            <v>0</v>
          </cell>
          <cell r="Z5819">
            <v>0</v>
          </cell>
        </row>
        <row r="5820">
          <cell r="U5820">
            <v>0</v>
          </cell>
          <cell r="Z5820">
            <v>0</v>
          </cell>
        </row>
        <row r="5821">
          <cell r="U5821">
            <v>0</v>
          </cell>
          <cell r="Z5821">
            <v>0</v>
          </cell>
        </row>
        <row r="5822">
          <cell r="U5822">
            <v>0</v>
          </cell>
          <cell r="Z5822">
            <v>0</v>
          </cell>
        </row>
        <row r="5823">
          <cell r="U5823">
            <v>0</v>
          </cell>
          <cell r="Z5823">
            <v>0</v>
          </cell>
        </row>
        <row r="5824">
          <cell r="U5824">
            <v>0</v>
          </cell>
          <cell r="Z5824">
            <v>0</v>
          </cell>
        </row>
        <row r="5825">
          <cell r="U5825">
            <v>0</v>
          </cell>
          <cell r="Z5825">
            <v>0</v>
          </cell>
        </row>
        <row r="5826">
          <cell r="U5826">
            <v>0</v>
          </cell>
          <cell r="Z5826">
            <v>0</v>
          </cell>
        </row>
        <row r="5827">
          <cell r="U5827">
            <v>0</v>
          </cell>
          <cell r="Z5827">
            <v>0</v>
          </cell>
        </row>
        <row r="5828">
          <cell r="U5828">
            <v>0</v>
          </cell>
          <cell r="Z5828">
            <v>0</v>
          </cell>
        </row>
        <row r="5829">
          <cell r="U5829">
            <v>0</v>
          </cell>
          <cell r="Z5829">
            <v>0</v>
          </cell>
        </row>
        <row r="5830">
          <cell r="U5830">
            <v>0</v>
          </cell>
          <cell r="Z5830">
            <v>0</v>
          </cell>
        </row>
        <row r="5831">
          <cell r="U5831">
            <v>0</v>
          </cell>
          <cell r="Z5831">
            <v>0</v>
          </cell>
        </row>
        <row r="5832">
          <cell r="U5832">
            <v>0</v>
          </cell>
          <cell r="Z5832">
            <v>0</v>
          </cell>
        </row>
        <row r="5833">
          <cell r="U5833">
            <v>0</v>
          </cell>
          <cell r="Z5833">
            <v>0</v>
          </cell>
        </row>
        <row r="5834">
          <cell r="U5834">
            <v>0</v>
          </cell>
          <cell r="Z5834">
            <v>0</v>
          </cell>
        </row>
        <row r="5835">
          <cell r="U5835">
            <v>0</v>
          </cell>
          <cell r="Z5835">
            <v>0</v>
          </cell>
        </row>
        <row r="5836">
          <cell r="U5836">
            <v>0</v>
          </cell>
          <cell r="Z5836">
            <v>0</v>
          </cell>
        </row>
        <row r="5837">
          <cell r="U5837">
            <v>0</v>
          </cell>
          <cell r="Z5837">
            <v>0</v>
          </cell>
        </row>
        <row r="5838">
          <cell r="U5838">
            <v>0</v>
          </cell>
          <cell r="Z5838">
            <v>0</v>
          </cell>
        </row>
        <row r="5839">
          <cell r="U5839">
            <v>0</v>
          </cell>
          <cell r="Z5839">
            <v>0</v>
          </cell>
        </row>
        <row r="5840">
          <cell r="U5840">
            <v>0</v>
          </cell>
          <cell r="Z5840">
            <v>0</v>
          </cell>
        </row>
        <row r="5841">
          <cell r="U5841">
            <v>0</v>
          </cell>
          <cell r="Z5841">
            <v>0</v>
          </cell>
        </row>
        <row r="5842">
          <cell r="U5842">
            <v>0</v>
          </cell>
          <cell r="Z5842">
            <v>0</v>
          </cell>
        </row>
        <row r="5843">
          <cell r="U5843">
            <v>0</v>
          </cell>
          <cell r="Z5843">
            <v>0</v>
          </cell>
        </row>
        <row r="5844">
          <cell r="U5844">
            <v>0</v>
          </cell>
          <cell r="Z5844">
            <v>0</v>
          </cell>
        </row>
        <row r="5845">
          <cell r="U5845">
            <v>0</v>
          </cell>
          <cell r="Z5845">
            <v>0</v>
          </cell>
        </row>
        <row r="5846">
          <cell r="U5846">
            <v>0</v>
          </cell>
          <cell r="Z5846">
            <v>0</v>
          </cell>
        </row>
        <row r="5847">
          <cell r="U5847">
            <v>0</v>
          </cell>
          <cell r="Z5847">
            <v>0</v>
          </cell>
        </row>
        <row r="5848">
          <cell r="U5848">
            <v>0</v>
          </cell>
          <cell r="Z5848">
            <v>0</v>
          </cell>
        </row>
        <row r="5849">
          <cell r="U5849">
            <v>0</v>
          </cell>
          <cell r="Z5849">
            <v>0</v>
          </cell>
        </row>
        <row r="5850">
          <cell r="U5850">
            <v>0</v>
          </cell>
          <cell r="Z5850">
            <v>0</v>
          </cell>
        </row>
        <row r="5851">
          <cell r="U5851">
            <v>0</v>
          </cell>
          <cell r="Z5851">
            <v>0</v>
          </cell>
        </row>
        <row r="5852">
          <cell r="U5852">
            <v>0</v>
          </cell>
          <cell r="Z5852">
            <v>0</v>
          </cell>
        </row>
        <row r="5853">
          <cell r="U5853">
            <v>0</v>
          </cell>
          <cell r="Z5853">
            <v>0</v>
          </cell>
        </row>
        <row r="5854">
          <cell r="U5854">
            <v>0</v>
          </cell>
          <cell r="Z5854">
            <v>0</v>
          </cell>
        </row>
        <row r="5855">
          <cell r="U5855">
            <v>0</v>
          </cell>
          <cell r="Z5855">
            <v>0</v>
          </cell>
        </row>
        <row r="5856">
          <cell r="U5856">
            <v>0</v>
          </cell>
          <cell r="Z5856">
            <v>0</v>
          </cell>
        </row>
        <row r="5857">
          <cell r="U5857">
            <v>0</v>
          </cell>
          <cell r="Z5857">
            <v>0</v>
          </cell>
        </row>
        <row r="5858">
          <cell r="U5858">
            <v>0</v>
          </cell>
          <cell r="Z5858">
            <v>0</v>
          </cell>
        </row>
        <row r="5859">
          <cell r="U5859">
            <v>0</v>
          </cell>
          <cell r="Z5859">
            <v>0</v>
          </cell>
        </row>
        <row r="5860">
          <cell r="U5860">
            <v>0</v>
          </cell>
          <cell r="Z5860">
            <v>0</v>
          </cell>
        </row>
        <row r="5861">
          <cell r="U5861">
            <v>0</v>
          </cell>
          <cell r="Z5861">
            <v>0</v>
          </cell>
        </row>
        <row r="5862">
          <cell r="U5862">
            <v>0</v>
          </cell>
          <cell r="Z5862">
            <v>0</v>
          </cell>
        </row>
        <row r="5863">
          <cell r="U5863">
            <v>0</v>
          </cell>
          <cell r="Z5863">
            <v>0</v>
          </cell>
        </row>
        <row r="5864">
          <cell r="U5864">
            <v>0</v>
          </cell>
          <cell r="Z5864">
            <v>0</v>
          </cell>
        </row>
        <row r="5865">
          <cell r="U5865">
            <v>0</v>
          </cell>
          <cell r="Z5865">
            <v>0</v>
          </cell>
        </row>
        <row r="5866">
          <cell r="U5866">
            <v>0</v>
          </cell>
          <cell r="Z5866">
            <v>0</v>
          </cell>
        </row>
        <row r="5867">
          <cell r="U5867">
            <v>0</v>
          </cell>
          <cell r="Z5867">
            <v>0</v>
          </cell>
        </row>
        <row r="5868">
          <cell r="U5868">
            <v>0</v>
          </cell>
          <cell r="Z5868">
            <v>0</v>
          </cell>
        </row>
        <row r="5869">
          <cell r="U5869">
            <v>0</v>
          </cell>
          <cell r="Z5869">
            <v>0</v>
          </cell>
        </row>
        <row r="5870">
          <cell r="U5870">
            <v>0</v>
          </cell>
          <cell r="Z5870">
            <v>0</v>
          </cell>
        </row>
        <row r="5871">
          <cell r="U5871">
            <v>0</v>
          </cell>
          <cell r="Z5871">
            <v>0</v>
          </cell>
        </row>
        <row r="5872">
          <cell r="U5872">
            <v>0</v>
          </cell>
          <cell r="Z5872">
            <v>0</v>
          </cell>
        </row>
        <row r="5873">
          <cell r="U5873">
            <v>0</v>
          </cell>
          <cell r="Z5873">
            <v>0</v>
          </cell>
        </row>
        <row r="5874">
          <cell r="U5874">
            <v>0</v>
          </cell>
          <cell r="Z5874">
            <v>0</v>
          </cell>
        </row>
        <row r="5875">
          <cell r="U5875">
            <v>0</v>
          </cell>
          <cell r="Z5875">
            <v>0</v>
          </cell>
        </row>
        <row r="5876">
          <cell r="U5876">
            <v>0</v>
          </cell>
          <cell r="Z5876">
            <v>0</v>
          </cell>
        </row>
        <row r="5877">
          <cell r="U5877">
            <v>0</v>
          </cell>
          <cell r="Z5877">
            <v>0</v>
          </cell>
        </row>
        <row r="5878">
          <cell r="U5878">
            <v>0</v>
          </cell>
          <cell r="Z5878">
            <v>0</v>
          </cell>
        </row>
        <row r="5879">
          <cell r="U5879">
            <v>0</v>
          </cell>
          <cell r="Z5879">
            <v>0</v>
          </cell>
        </row>
        <row r="5880">
          <cell r="U5880">
            <v>0</v>
          </cell>
          <cell r="Z5880">
            <v>0</v>
          </cell>
        </row>
        <row r="5881">
          <cell r="U5881">
            <v>0</v>
          </cell>
          <cell r="Z5881">
            <v>0</v>
          </cell>
        </row>
        <row r="5882">
          <cell r="U5882">
            <v>0</v>
          </cell>
          <cell r="Z5882">
            <v>0</v>
          </cell>
        </row>
        <row r="5883">
          <cell r="U5883">
            <v>0</v>
          </cell>
          <cell r="Z5883">
            <v>0</v>
          </cell>
        </row>
        <row r="5884">
          <cell r="U5884">
            <v>0</v>
          </cell>
          <cell r="Z5884">
            <v>0</v>
          </cell>
        </row>
        <row r="5885">
          <cell r="U5885">
            <v>0</v>
          </cell>
          <cell r="Z5885">
            <v>0</v>
          </cell>
        </row>
        <row r="5886">
          <cell r="U5886">
            <v>0</v>
          </cell>
          <cell r="Z5886">
            <v>0</v>
          </cell>
        </row>
        <row r="5887">
          <cell r="U5887">
            <v>0</v>
          </cell>
          <cell r="Z5887">
            <v>0</v>
          </cell>
        </row>
        <row r="5888">
          <cell r="U5888">
            <v>0</v>
          </cell>
          <cell r="Z5888">
            <v>0</v>
          </cell>
        </row>
        <row r="5889">
          <cell r="U5889">
            <v>0</v>
          </cell>
          <cell r="Z5889">
            <v>0</v>
          </cell>
        </row>
        <row r="5890">
          <cell r="U5890">
            <v>0</v>
          </cell>
          <cell r="Z5890">
            <v>0</v>
          </cell>
        </row>
        <row r="5891">
          <cell r="U5891">
            <v>0</v>
          </cell>
          <cell r="Z5891">
            <v>0</v>
          </cell>
        </row>
        <row r="5892">
          <cell r="U5892">
            <v>0</v>
          </cell>
          <cell r="Z5892">
            <v>0</v>
          </cell>
        </row>
        <row r="5893">
          <cell r="U5893">
            <v>0</v>
          </cell>
          <cell r="Z5893">
            <v>0</v>
          </cell>
        </row>
        <row r="5894">
          <cell r="U5894">
            <v>0</v>
          </cell>
          <cell r="Z5894">
            <v>0</v>
          </cell>
        </row>
        <row r="5895">
          <cell r="U5895">
            <v>0</v>
          </cell>
          <cell r="Z5895">
            <v>0</v>
          </cell>
        </row>
        <row r="5896">
          <cell r="U5896">
            <v>0</v>
          </cell>
          <cell r="Z5896">
            <v>0</v>
          </cell>
        </row>
        <row r="5897">
          <cell r="U5897">
            <v>0</v>
          </cell>
          <cell r="Z5897">
            <v>0</v>
          </cell>
        </row>
        <row r="5898">
          <cell r="U5898">
            <v>0</v>
          </cell>
          <cell r="Z5898">
            <v>0</v>
          </cell>
        </row>
        <row r="5899">
          <cell r="U5899">
            <v>0</v>
          </cell>
          <cell r="Z5899">
            <v>0</v>
          </cell>
        </row>
        <row r="5900">
          <cell r="U5900">
            <v>0</v>
          </cell>
          <cell r="Z5900">
            <v>0</v>
          </cell>
        </row>
        <row r="5901">
          <cell r="U5901">
            <v>0</v>
          </cell>
          <cell r="Z5901">
            <v>0</v>
          </cell>
        </row>
        <row r="5902">
          <cell r="U5902">
            <v>0</v>
          </cell>
          <cell r="Z5902">
            <v>0</v>
          </cell>
        </row>
        <row r="5903">
          <cell r="U5903">
            <v>0</v>
          </cell>
          <cell r="Z5903">
            <v>0</v>
          </cell>
        </row>
        <row r="5904">
          <cell r="U5904">
            <v>0</v>
          </cell>
          <cell r="Z5904">
            <v>0</v>
          </cell>
        </row>
        <row r="5905">
          <cell r="U5905">
            <v>0</v>
          </cell>
          <cell r="Z5905">
            <v>0</v>
          </cell>
        </row>
        <row r="5906">
          <cell r="U5906">
            <v>0</v>
          </cell>
          <cell r="Z5906">
            <v>0</v>
          </cell>
        </row>
        <row r="5907">
          <cell r="U5907">
            <v>0</v>
          </cell>
          <cell r="Z5907">
            <v>0</v>
          </cell>
        </row>
        <row r="5908">
          <cell r="U5908">
            <v>0</v>
          </cell>
          <cell r="Z5908">
            <v>0</v>
          </cell>
        </row>
        <row r="5909">
          <cell r="U5909">
            <v>0</v>
          </cell>
          <cell r="Z5909">
            <v>0</v>
          </cell>
        </row>
        <row r="5910">
          <cell r="U5910">
            <v>0</v>
          </cell>
          <cell r="Z5910">
            <v>0</v>
          </cell>
        </row>
        <row r="5911">
          <cell r="U5911">
            <v>0</v>
          </cell>
          <cell r="Z5911">
            <v>0</v>
          </cell>
        </row>
        <row r="5912">
          <cell r="U5912">
            <v>0</v>
          </cell>
          <cell r="Z5912">
            <v>0</v>
          </cell>
        </row>
        <row r="5913">
          <cell r="U5913">
            <v>0</v>
          </cell>
          <cell r="Z5913">
            <v>0</v>
          </cell>
        </row>
        <row r="5914">
          <cell r="U5914">
            <v>0</v>
          </cell>
          <cell r="Z5914">
            <v>0</v>
          </cell>
        </row>
        <row r="5915">
          <cell r="U5915">
            <v>0</v>
          </cell>
          <cell r="Z5915">
            <v>0</v>
          </cell>
        </row>
        <row r="5916">
          <cell r="U5916">
            <v>0</v>
          </cell>
          <cell r="Z5916">
            <v>0</v>
          </cell>
        </row>
        <row r="5917">
          <cell r="U5917">
            <v>0</v>
          </cell>
          <cell r="Z5917">
            <v>0</v>
          </cell>
        </row>
        <row r="5918">
          <cell r="U5918">
            <v>0</v>
          </cell>
          <cell r="Z5918">
            <v>0</v>
          </cell>
        </row>
        <row r="5919">
          <cell r="U5919">
            <v>0</v>
          </cell>
          <cell r="Z5919">
            <v>0</v>
          </cell>
        </row>
        <row r="5920">
          <cell r="U5920">
            <v>0</v>
          </cell>
          <cell r="Z5920">
            <v>0</v>
          </cell>
        </row>
        <row r="5921">
          <cell r="U5921">
            <v>0</v>
          </cell>
          <cell r="Z5921">
            <v>0</v>
          </cell>
        </row>
        <row r="5922">
          <cell r="U5922">
            <v>0</v>
          </cell>
          <cell r="Z5922">
            <v>0</v>
          </cell>
        </row>
        <row r="5923">
          <cell r="U5923">
            <v>0</v>
          </cell>
          <cell r="Z5923">
            <v>0</v>
          </cell>
        </row>
        <row r="5924">
          <cell r="U5924">
            <v>0</v>
          </cell>
          <cell r="Z5924">
            <v>0</v>
          </cell>
        </row>
        <row r="5925">
          <cell r="U5925">
            <v>0</v>
          </cell>
          <cell r="Z5925">
            <v>0</v>
          </cell>
        </row>
        <row r="5926">
          <cell r="U5926">
            <v>0</v>
          </cell>
          <cell r="Z5926">
            <v>0</v>
          </cell>
        </row>
        <row r="5927">
          <cell r="U5927">
            <v>0</v>
          </cell>
          <cell r="Z5927">
            <v>0</v>
          </cell>
        </row>
        <row r="5928">
          <cell r="U5928">
            <v>0</v>
          </cell>
          <cell r="Z5928">
            <v>0</v>
          </cell>
        </row>
        <row r="5929">
          <cell r="U5929">
            <v>0</v>
          </cell>
          <cell r="Z5929">
            <v>0</v>
          </cell>
        </row>
        <row r="5930">
          <cell r="U5930">
            <v>0</v>
          </cell>
          <cell r="Z5930">
            <v>0</v>
          </cell>
        </row>
        <row r="5931">
          <cell r="U5931">
            <v>0</v>
          </cell>
          <cell r="Z5931">
            <v>0</v>
          </cell>
        </row>
        <row r="5932">
          <cell r="U5932">
            <v>0</v>
          </cell>
          <cell r="Z5932">
            <v>0</v>
          </cell>
        </row>
        <row r="5933">
          <cell r="U5933">
            <v>0</v>
          </cell>
          <cell r="Z5933">
            <v>0</v>
          </cell>
        </row>
        <row r="5934">
          <cell r="U5934">
            <v>0</v>
          </cell>
          <cell r="Z5934">
            <v>0</v>
          </cell>
        </row>
        <row r="5935">
          <cell r="U5935">
            <v>0</v>
          </cell>
          <cell r="Z5935">
            <v>0</v>
          </cell>
        </row>
        <row r="5936">
          <cell r="U5936">
            <v>0</v>
          </cell>
          <cell r="Z5936">
            <v>0</v>
          </cell>
        </row>
        <row r="5937">
          <cell r="U5937">
            <v>0</v>
          </cell>
          <cell r="Z5937">
            <v>0</v>
          </cell>
        </row>
        <row r="5938">
          <cell r="U5938">
            <v>0</v>
          </cell>
          <cell r="Z5938">
            <v>0</v>
          </cell>
        </row>
        <row r="5939">
          <cell r="U5939">
            <v>0</v>
          </cell>
          <cell r="Z5939">
            <v>0</v>
          </cell>
        </row>
        <row r="5940">
          <cell r="U5940">
            <v>0</v>
          </cell>
          <cell r="Z5940">
            <v>0</v>
          </cell>
        </row>
        <row r="5941">
          <cell r="U5941">
            <v>0</v>
          </cell>
          <cell r="Z5941">
            <v>0</v>
          </cell>
        </row>
        <row r="5942">
          <cell r="U5942">
            <v>0</v>
          </cell>
          <cell r="Z5942">
            <v>0</v>
          </cell>
        </row>
        <row r="5943">
          <cell r="U5943">
            <v>0</v>
          </cell>
          <cell r="Z5943">
            <v>0</v>
          </cell>
        </row>
        <row r="5944">
          <cell r="U5944">
            <v>0</v>
          </cell>
          <cell r="Z5944">
            <v>0</v>
          </cell>
        </row>
        <row r="5945">
          <cell r="U5945">
            <v>0</v>
          </cell>
          <cell r="Z5945">
            <v>0</v>
          </cell>
        </row>
        <row r="5946">
          <cell r="U5946">
            <v>0</v>
          </cell>
          <cell r="Z5946">
            <v>0</v>
          </cell>
        </row>
        <row r="5947">
          <cell r="U5947">
            <v>0</v>
          </cell>
          <cell r="Z5947">
            <v>0</v>
          </cell>
        </row>
        <row r="5948">
          <cell r="U5948">
            <v>0</v>
          </cell>
          <cell r="Z5948">
            <v>0</v>
          </cell>
        </row>
        <row r="5949">
          <cell r="U5949">
            <v>0</v>
          </cell>
          <cell r="Z5949">
            <v>0</v>
          </cell>
        </row>
        <row r="5950">
          <cell r="U5950">
            <v>0</v>
          </cell>
          <cell r="Z5950">
            <v>0</v>
          </cell>
        </row>
        <row r="5951">
          <cell r="U5951">
            <v>0</v>
          </cell>
          <cell r="Z5951">
            <v>0</v>
          </cell>
        </row>
        <row r="5952">
          <cell r="U5952">
            <v>0</v>
          </cell>
          <cell r="Z5952">
            <v>0</v>
          </cell>
        </row>
        <row r="5953">
          <cell r="U5953">
            <v>0</v>
          </cell>
          <cell r="Z5953">
            <v>0</v>
          </cell>
        </row>
        <row r="5954">
          <cell r="U5954">
            <v>0</v>
          </cell>
          <cell r="Z5954">
            <v>0</v>
          </cell>
        </row>
        <row r="5955">
          <cell r="U5955">
            <v>0</v>
          </cell>
          <cell r="Z5955">
            <v>0</v>
          </cell>
        </row>
        <row r="5956">
          <cell r="U5956">
            <v>0</v>
          </cell>
          <cell r="Z5956">
            <v>0</v>
          </cell>
        </row>
        <row r="5957">
          <cell r="U5957">
            <v>0</v>
          </cell>
          <cell r="Z5957">
            <v>0</v>
          </cell>
        </row>
        <row r="5958">
          <cell r="U5958">
            <v>0</v>
          </cell>
          <cell r="Z5958">
            <v>0</v>
          </cell>
        </row>
        <row r="5959">
          <cell r="U5959">
            <v>0</v>
          </cell>
          <cell r="Z5959">
            <v>0</v>
          </cell>
        </row>
        <row r="5960">
          <cell r="U5960">
            <v>0</v>
          </cell>
          <cell r="Z5960">
            <v>0</v>
          </cell>
        </row>
        <row r="5961">
          <cell r="U5961">
            <v>0</v>
          </cell>
          <cell r="Z5961">
            <v>0</v>
          </cell>
        </row>
        <row r="5962">
          <cell r="U5962">
            <v>0</v>
          </cell>
          <cell r="Z5962">
            <v>0</v>
          </cell>
        </row>
        <row r="5963">
          <cell r="U5963">
            <v>0</v>
          </cell>
          <cell r="Z5963">
            <v>0</v>
          </cell>
        </row>
        <row r="5964">
          <cell r="U5964">
            <v>0</v>
          </cell>
          <cell r="Z5964">
            <v>0</v>
          </cell>
        </row>
        <row r="5965">
          <cell r="U5965">
            <v>0</v>
          </cell>
          <cell r="Z5965">
            <v>0</v>
          </cell>
        </row>
        <row r="5966">
          <cell r="U5966">
            <v>0</v>
          </cell>
          <cell r="Z5966">
            <v>0</v>
          </cell>
        </row>
        <row r="5967">
          <cell r="U5967">
            <v>0</v>
          </cell>
          <cell r="Z5967">
            <v>0</v>
          </cell>
        </row>
        <row r="5968">
          <cell r="U5968">
            <v>0</v>
          </cell>
          <cell r="Z5968">
            <v>0</v>
          </cell>
        </row>
        <row r="5969">
          <cell r="U5969">
            <v>0</v>
          </cell>
          <cell r="Z5969">
            <v>0</v>
          </cell>
        </row>
        <row r="5970">
          <cell r="U5970">
            <v>0</v>
          </cell>
          <cell r="Z5970">
            <v>0</v>
          </cell>
        </row>
        <row r="5971">
          <cell r="U5971">
            <v>0</v>
          </cell>
          <cell r="Z5971">
            <v>0</v>
          </cell>
        </row>
        <row r="5972">
          <cell r="U5972">
            <v>0</v>
          </cell>
          <cell r="Z5972">
            <v>0</v>
          </cell>
        </row>
        <row r="5973">
          <cell r="U5973">
            <v>0</v>
          </cell>
          <cell r="Z5973">
            <v>0</v>
          </cell>
        </row>
        <row r="5974">
          <cell r="U5974">
            <v>0</v>
          </cell>
          <cell r="Z5974">
            <v>0</v>
          </cell>
        </row>
        <row r="5975">
          <cell r="U5975">
            <v>0</v>
          </cell>
          <cell r="Z5975">
            <v>0</v>
          </cell>
        </row>
        <row r="5976">
          <cell r="U5976">
            <v>0</v>
          </cell>
          <cell r="Z5976">
            <v>0</v>
          </cell>
        </row>
        <row r="5977">
          <cell r="U5977">
            <v>0</v>
          </cell>
          <cell r="Z5977">
            <v>0</v>
          </cell>
        </row>
        <row r="5978">
          <cell r="U5978">
            <v>0</v>
          </cell>
          <cell r="Z5978">
            <v>0</v>
          </cell>
        </row>
        <row r="5979">
          <cell r="U5979">
            <v>0</v>
          </cell>
          <cell r="Z5979">
            <v>0</v>
          </cell>
        </row>
        <row r="5980">
          <cell r="U5980">
            <v>0</v>
          </cell>
          <cell r="Z5980">
            <v>0</v>
          </cell>
        </row>
        <row r="5981">
          <cell r="U5981">
            <v>0</v>
          </cell>
          <cell r="Z5981">
            <v>0</v>
          </cell>
        </row>
        <row r="5982">
          <cell r="U5982">
            <v>0</v>
          </cell>
          <cell r="Z5982">
            <v>0</v>
          </cell>
        </row>
        <row r="5983">
          <cell r="U5983">
            <v>0</v>
          </cell>
          <cell r="Z5983">
            <v>0</v>
          </cell>
        </row>
        <row r="5984">
          <cell r="U5984">
            <v>0</v>
          </cell>
          <cell r="Z5984">
            <v>0</v>
          </cell>
        </row>
        <row r="5985">
          <cell r="U5985">
            <v>0</v>
          </cell>
          <cell r="Z5985">
            <v>0</v>
          </cell>
        </row>
        <row r="5986">
          <cell r="U5986">
            <v>0</v>
          </cell>
          <cell r="Z5986">
            <v>0</v>
          </cell>
        </row>
        <row r="5987">
          <cell r="U5987">
            <v>0</v>
          </cell>
          <cell r="Z5987">
            <v>0</v>
          </cell>
        </row>
        <row r="5988">
          <cell r="U5988">
            <v>0</v>
          </cell>
          <cell r="Z5988">
            <v>0</v>
          </cell>
        </row>
        <row r="5989">
          <cell r="U5989">
            <v>0</v>
          </cell>
          <cell r="Z5989">
            <v>0</v>
          </cell>
        </row>
        <row r="5990">
          <cell r="U5990">
            <v>0</v>
          </cell>
          <cell r="Z5990">
            <v>0</v>
          </cell>
        </row>
        <row r="5991">
          <cell r="U5991">
            <v>0</v>
          </cell>
          <cell r="Z5991">
            <v>0</v>
          </cell>
        </row>
        <row r="5992">
          <cell r="U5992">
            <v>0</v>
          </cell>
          <cell r="Z5992">
            <v>0</v>
          </cell>
        </row>
        <row r="5993">
          <cell r="U5993">
            <v>0</v>
          </cell>
          <cell r="Z5993">
            <v>0</v>
          </cell>
        </row>
        <row r="5994">
          <cell r="U5994">
            <v>0</v>
          </cell>
          <cell r="Z5994">
            <v>0</v>
          </cell>
        </row>
        <row r="5995">
          <cell r="U5995">
            <v>0</v>
          </cell>
          <cell r="Z5995">
            <v>0</v>
          </cell>
        </row>
        <row r="5996">
          <cell r="U5996">
            <v>0</v>
          </cell>
          <cell r="Z5996">
            <v>0</v>
          </cell>
        </row>
        <row r="5997">
          <cell r="U5997">
            <v>0</v>
          </cell>
          <cell r="Z5997">
            <v>0</v>
          </cell>
        </row>
        <row r="5998">
          <cell r="U5998">
            <v>0</v>
          </cell>
          <cell r="Z5998">
            <v>0</v>
          </cell>
        </row>
        <row r="5999">
          <cell r="U5999">
            <v>0</v>
          </cell>
          <cell r="Z5999">
            <v>0</v>
          </cell>
        </row>
        <row r="6000">
          <cell r="U6000">
            <v>0</v>
          </cell>
          <cell r="Z6000">
            <v>0</v>
          </cell>
        </row>
        <row r="6001">
          <cell r="U6001">
            <v>0</v>
          </cell>
          <cell r="Z6001">
            <v>0</v>
          </cell>
        </row>
        <row r="6002">
          <cell r="U6002">
            <v>0</v>
          </cell>
          <cell r="Z6002">
            <v>0</v>
          </cell>
        </row>
        <row r="6003">
          <cell r="U6003">
            <v>0</v>
          </cell>
          <cell r="Z6003">
            <v>0</v>
          </cell>
        </row>
        <row r="6004">
          <cell r="U6004">
            <v>0</v>
          </cell>
          <cell r="Z6004">
            <v>0</v>
          </cell>
        </row>
        <row r="6005">
          <cell r="U6005">
            <v>0</v>
          </cell>
          <cell r="Z6005">
            <v>0</v>
          </cell>
        </row>
        <row r="6006">
          <cell r="U6006">
            <v>0</v>
          </cell>
          <cell r="Z6006">
            <v>0</v>
          </cell>
        </row>
        <row r="6007">
          <cell r="U6007">
            <v>0</v>
          </cell>
          <cell r="Z6007">
            <v>0</v>
          </cell>
        </row>
        <row r="6008">
          <cell r="U6008">
            <v>0</v>
          </cell>
          <cell r="Z6008">
            <v>0</v>
          </cell>
        </row>
        <row r="6009">
          <cell r="U6009">
            <v>0</v>
          </cell>
          <cell r="Z6009">
            <v>0</v>
          </cell>
        </row>
        <row r="6010">
          <cell r="U6010">
            <v>0</v>
          </cell>
          <cell r="Z6010">
            <v>0</v>
          </cell>
        </row>
        <row r="6011">
          <cell r="U6011">
            <v>0</v>
          </cell>
          <cell r="Z6011">
            <v>0</v>
          </cell>
        </row>
        <row r="6012">
          <cell r="U6012">
            <v>0</v>
          </cell>
          <cell r="Z6012">
            <v>0</v>
          </cell>
        </row>
        <row r="6013">
          <cell r="U6013">
            <v>0</v>
          </cell>
          <cell r="Z6013">
            <v>0</v>
          </cell>
        </row>
        <row r="6014">
          <cell r="U6014">
            <v>0</v>
          </cell>
          <cell r="Z6014">
            <v>0</v>
          </cell>
        </row>
        <row r="6015">
          <cell r="U6015">
            <v>0</v>
          </cell>
          <cell r="Z6015">
            <v>0</v>
          </cell>
        </row>
        <row r="6016">
          <cell r="U6016">
            <v>0</v>
          </cell>
          <cell r="Z6016">
            <v>0</v>
          </cell>
        </row>
        <row r="6017">
          <cell r="U6017">
            <v>0</v>
          </cell>
          <cell r="Z6017">
            <v>0</v>
          </cell>
        </row>
        <row r="6018">
          <cell r="U6018">
            <v>0</v>
          </cell>
          <cell r="Z6018">
            <v>0</v>
          </cell>
        </row>
        <row r="6019">
          <cell r="U6019">
            <v>0</v>
          </cell>
          <cell r="Z6019">
            <v>0</v>
          </cell>
        </row>
        <row r="6020">
          <cell r="U6020">
            <v>0</v>
          </cell>
          <cell r="Z6020">
            <v>0</v>
          </cell>
        </row>
        <row r="6021">
          <cell r="U6021">
            <v>0</v>
          </cell>
          <cell r="Z6021">
            <v>0</v>
          </cell>
        </row>
        <row r="6022">
          <cell r="U6022">
            <v>0</v>
          </cell>
          <cell r="Z6022">
            <v>0</v>
          </cell>
        </row>
        <row r="6023">
          <cell r="U6023">
            <v>0</v>
          </cell>
          <cell r="Z6023">
            <v>0</v>
          </cell>
        </row>
        <row r="6024">
          <cell r="U6024">
            <v>0</v>
          </cell>
          <cell r="Z6024">
            <v>0</v>
          </cell>
        </row>
        <row r="6025">
          <cell r="U6025">
            <v>0</v>
          </cell>
          <cell r="Z6025">
            <v>0</v>
          </cell>
        </row>
        <row r="6026">
          <cell r="U6026">
            <v>0</v>
          </cell>
          <cell r="Z6026">
            <v>0</v>
          </cell>
        </row>
        <row r="6027">
          <cell r="U6027">
            <v>0</v>
          </cell>
          <cell r="Z6027">
            <v>0</v>
          </cell>
        </row>
        <row r="6028">
          <cell r="U6028">
            <v>0</v>
          </cell>
          <cell r="Z6028">
            <v>0</v>
          </cell>
        </row>
        <row r="6029">
          <cell r="U6029">
            <v>0</v>
          </cell>
          <cell r="Z6029">
            <v>0</v>
          </cell>
        </row>
        <row r="6030">
          <cell r="U6030">
            <v>0</v>
          </cell>
          <cell r="Z6030">
            <v>0</v>
          </cell>
        </row>
        <row r="6031">
          <cell r="U6031">
            <v>0</v>
          </cell>
          <cell r="Z6031">
            <v>0</v>
          </cell>
        </row>
        <row r="6032">
          <cell r="U6032">
            <v>0</v>
          </cell>
          <cell r="Z6032">
            <v>0</v>
          </cell>
        </row>
        <row r="6033">
          <cell r="U6033">
            <v>0</v>
          </cell>
          <cell r="Z6033">
            <v>0</v>
          </cell>
        </row>
        <row r="6034">
          <cell r="U6034">
            <v>0</v>
          </cell>
          <cell r="Z6034">
            <v>0</v>
          </cell>
        </row>
        <row r="6035">
          <cell r="U6035">
            <v>0</v>
          </cell>
          <cell r="Z6035">
            <v>0</v>
          </cell>
        </row>
        <row r="6036">
          <cell r="U6036">
            <v>0</v>
          </cell>
          <cell r="Z6036">
            <v>0</v>
          </cell>
        </row>
        <row r="6037">
          <cell r="U6037">
            <v>0</v>
          </cell>
          <cell r="Z6037">
            <v>0</v>
          </cell>
        </row>
        <row r="6038">
          <cell r="U6038">
            <v>0</v>
          </cell>
          <cell r="Z6038">
            <v>0</v>
          </cell>
        </row>
        <row r="6039">
          <cell r="U6039">
            <v>0</v>
          </cell>
          <cell r="Z6039">
            <v>0</v>
          </cell>
        </row>
        <row r="6040">
          <cell r="U6040">
            <v>0</v>
          </cell>
          <cell r="Z6040">
            <v>0</v>
          </cell>
        </row>
        <row r="6041">
          <cell r="U6041">
            <v>0</v>
          </cell>
          <cell r="Z6041">
            <v>0</v>
          </cell>
        </row>
        <row r="6042">
          <cell r="U6042">
            <v>0</v>
          </cell>
          <cell r="Z6042">
            <v>0</v>
          </cell>
        </row>
        <row r="6043">
          <cell r="U6043">
            <v>0</v>
          </cell>
          <cell r="Z6043">
            <v>0</v>
          </cell>
        </row>
        <row r="6044">
          <cell r="U6044">
            <v>0</v>
          </cell>
          <cell r="Z6044">
            <v>0</v>
          </cell>
        </row>
        <row r="6045">
          <cell r="U6045">
            <v>0</v>
          </cell>
          <cell r="Z6045">
            <v>0</v>
          </cell>
        </row>
        <row r="6046">
          <cell r="U6046">
            <v>0</v>
          </cell>
          <cell r="Z6046">
            <v>0</v>
          </cell>
        </row>
        <row r="6047">
          <cell r="U6047">
            <v>0</v>
          </cell>
          <cell r="Z6047">
            <v>0</v>
          </cell>
        </row>
        <row r="6048">
          <cell r="U6048">
            <v>0</v>
          </cell>
          <cell r="Z6048">
            <v>0</v>
          </cell>
        </row>
        <row r="6049">
          <cell r="U6049">
            <v>0</v>
          </cell>
          <cell r="Z6049">
            <v>0</v>
          </cell>
        </row>
        <row r="6050">
          <cell r="U6050">
            <v>0</v>
          </cell>
          <cell r="Z6050">
            <v>0</v>
          </cell>
        </row>
        <row r="6051">
          <cell r="U6051">
            <v>0</v>
          </cell>
          <cell r="Z6051">
            <v>0</v>
          </cell>
        </row>
        <row r="6052">
          <cell r="U6052">
            <v>0</v>
          </cell>
          <cell r="Z6052">
            <v>0</v>
          </cell>
        </row>
        <row r="6053">
          <cell r="U6053">
            <v>0</v>
          </cell>
          <cell r="Z6053">
            <v>0</v>
          </cell>
        </row>
        <row r="6054">
          <cell r="U6054">
            <v>0</v>
          </cell>
          <cell r="Z6054">
            <v>0</v>
          </cell>
        </row>
        <row r="6055">
          <cell r="U6055">
            <v>0</v>
          </cell>
          <cell r="Z6055">
            <v>0</v>
          </cell>
        </row>
        <row r="6056">
          <cell r="U6056">
            <v>0</v>
          </cell>
          <cell r="Z6056">
            <v>0</v>
          </cell>
        </row>
        <row r="6057">
          <cell r="U6057">
            <v>0</v>
          </cell>
          <cell r="Z6057">
            <v>0</v>
          </cell>
        </row>
        <row r="6058">
          <cell r="U6058">
            <v>0</v>
          </cell>
          <cell r="Z6058">
            <v>0</v>
          </cell>
        </row>
        <row r="6059">
          <cell r="U6059">
            <v>0</v>
          </cell>
          <cell r="Z6059">
            <v>0</v>
          </cell>
        </row>
        <row r="6060">
          <cell r="U6060">
            <v>0</v>
          </cell>
          <cell r="Z6060">
            <v>0</v>
          </cell>
        </row>
        <row r="6061">
          <cell r="U6061">
            <v>0</v>
          </cell>
          <cell r="Z6061">
            <v>0</v>
          </cell>
        </row>
        <row r="6062">
          <cell r="U6062">
            <v>0</v>
          </cell>
          <cell r="Z6062">
            <v>0</v>
          </cell>
        </row>
        <row r="6063">
          <cell r="U6063">
            <v>0</v>
          </cell>
          <cell r="Z6063">
            <v>0</v>
          </cell>
        </row>
        <row r="6064">
          <cell r="U6064">
            <v>0</v>
          </cell>
          <cell r="Z6064">
            <v>0</v>
          </cell>
        </row>
        <row r="6065">
          <cell r="U6065">
            <v>0</v>
          </cell>
          <cell r="Z6065">
            <v>0</v>
          </cell>
        </row>
        <row r="6066">
          <cell r="U6066">
            <v>0</v>
          </cell>
          <cell r="Z6066">
            <v>0</v>
          </cell>
        </row>
        <row r="6067">
          <cell r="U6067">
            <v>0</v>
          </cell>
          <cell r="Z6067">
            <v>0</v>
          </cell>
        </row>
        <row r="6068">
          <cell r="U6068">
            <v>0</v>
          </cell>
          <cell r="Z6068">
            <v>0</v>
          </cell>
        </row>
        <row r="6069">
          <cell r="U6069">
            <v>0</v>
          </cell>
          <cell r="Z6069">
            <v>0</v>
          </cell>
        </row>
        <row r="6070">
          <cell r="U6070">
            <v>0</v>
          </cell>
          <cell r="Z6070">
            <v>0</v>
          </cell>
        </row>
        <row r="6071">
          <cell r="U6071">
            <v>0</v>
          </cell>
          <cell r="Z6071">
            <v>0</v>
          </cell>
        </row>
        <row r="6072">
          <cell r="U6072">
            <v>0</v>
          </cell>
          <cell r="Z6072">
            <v>0</v>
          </cell>
        </row>
        <row r="6073">
          <cell r="U6073">
            <v>0</v>
          </cell>
          <cell r="Z6073">
            <v>0</v>
          </cell>
        </row>
        <row r="6074">
          <cell r="U6074">
            <v>0</v>
          </cell>
          <cell r="Z6074">
            <v>0</v>
          </cell>
        </row>
        <row r="6075">
          <cell r="U6075">
            <v>0</v>
          </cell>
          <cell r="Z6075">
            <v>0</v>
          </cell>
        </row>
        <row r="6076">
          <cell r="U6076">
            <v>0</v>
          </cell>
          <cell r="Z6076">
            <v>0</v>
          </cell>
        </row>
        <row r="6077">
          <cell r="U6077">
            <v>0</v>
          </cell>
          <cell r="Z6077">
            <v>0</v>
          </cell>
        </row>
        <row r="6078">
          <cell r="U6078">
            <v>0</v>
          </cell>
          <cell r="Z6078">
            <v>0</v>
          </cell>
        </row>
        <row r="6079">
          <cell r="U6079">
            <v>0</v>
          </cell>
          <cell r="Z6079">
            <v>0</v>
          </cell>
        </row>
        <row r="6080">
          <cell r="U6080">
            <v>0</v>
          </cell>
          <cell r="Z6080">
            <v>0</v>
          </cell>
        </row>
        <row r="6081">
          <cell r="U6081">
            <v>0</v>
          </cell>
          <cell r="Z6081">
            <v>0</v>
          </cell>
        </row>
        <row r="6082">
          <cell r="U6082">
            <v>0</v>
          </cell>
          <cell r="Z6082">
            <v>0</v>
          </cell>
        </row>
        <row r="6083">
          <cell r="U6083">
            <v>0</v>
          </cell>
          <cell r="Z6083">
            <v>0</v>
          </cell>
        </row>
        <row r="6084">
          <cell r="U6084">
            <v>0</v>
          </cell>
          <cell r="Z6084">
            <v>0</v>
          </cell>
        </row>
        <row r="6085">
          <cell r="U6085">
            <v>0</v>
          </cell>
          <cell r="Z6085">
            <v>0</v>
          </cell>
        </row>
        <row r="6086">
          <cell r="U6086">
            <v>0</v>
          </cell>
          <cell r="Z6086">
            <v>0</v>
          </cell>
        </row>
        <row r="6087">
          <cell r="U6087">
            <v>0</v>
          </cell>
          <cell r="Z6087">
            <v>0</v>
          </cell>
        </row>
        <row r="6088">
          <cell r="U6088">
            <v>0</v>
          </cell>
          <cell r="Z6088">
            <v>0</v>
          </cell>
        </row>
        <row r="6089">
          <cell r="U6089">
            <v>0</v>
          </cell>
          <cell r="Z6089">
            <v>0</v>
          </cell>
        </row>
        <row r="6090">
          <cell r="U6090">
            <v>0</v>
          </cell>
          <cell r="Z6090">
            <v>0</v>
          </cell>
        </row>
        <row r="6091">
          <cell r="U6091">
            <v>0</v>
          </cell>
          <cell r="Z6091">
            <v>0</v>
          </cell>
        </row>
        <row r="6092">
          <cell r="U6092">
            <v>0</v>
          </cell>
          <cell r="Z6092">
            <v>0</v>
          </cell>
        </row>
        <row r="6093">
          <cell r="U6093">
            <v>0</v>
          </cell>
          <cell r="Z6093">
            <v>0</v>
          </cell>
        </row>
        <row r="6094">
          <cell r="U6094">
            <v>0</v>
          </cell>
          <cell r="Z6094">
            <v>0</v>
          </cell>
        </row>
        <row r="6095">
          <cell r="U6095">
            <v>0</v>
          </cell>
          <cell r="Z6095">
            <v>0</v>
          </cell>
        </row>
        <row r="6096">
          <cell r="U6096">
            <v>0</v>
          </cell>
          <cell r="Z6096">
            <v>0</v>
          </cell>
        </row>
        <row r="6097">
          <cell r="U6097">
            <v>0</v>
          </cell>
          <cell r="Z6097">
            <v>0</v>
          </cell>
        </row>
        <row r="6098">
          <cell r="U6098">
            <v>0</v>
          </cell>
          <cell r="Z6098">
            <v>0</v>
          </cell>
        </row>
        <row r="6099">
          <cell r="U6099">
            <v>0</v>
          </cell>
          <cell r="Z6099">
            <v>0</v>
          </cell>
        </row>
        <row r="6100">
          <cell r="U6100">
            <v>0</v>
          </cell>
          <cell r="Z6100">
            <v>0</v>
          </cell>
        </row>
        <row r="6101">
          <cell r="U6101">
            <v>0</v>
          </cell>
          <cell r="Z6101">
            <v>0</v>
          </cell>
        </row>
        <row r="6102">
          <cell r="U6102">
            <v>0</v>
          </cell>
          <cell r="Z6102">
            <v>0</v>
          </cell>
        </row>
        <row r="6103">
          <cell r="U6103">
            <v>0</v>
          </cell>
          <cell r="Z6103">
            <v>0</v>
          </cell>
        </row>
        <row r="6104">
          <cell r="U6104">
            <v>0</v>
          </cell>
          <cell r="Z6104">
            <v>0</v>
          </cell>
        </row>
        <row r="6105">
          <cell r="U6105">
            <v>0</v>
          </cell>
          <cell r="Z6105">
            <v>0</v>
          </cell>
        </row>
        <row r="6106">
          <cell r="U6106">
            <v>0</v>
          </cell>
          <cell r="Z6106">
            <v>0</v>
          </cell>
        </row>
        <row r="6107">
          <cell r="U6107">
            <v>0</v>
          </cell>
          <cell r="Z6107">
            <v>0</v>
          </cell>
        </row>
        <row r="6108">
          <cell r="U6108">
            <v>0</v>
          </cell>
          <cell r="Z6108">
            <v>0</v>
          </cell>
        </row>
        <row r="6109">
          <cell r="U6109">
            <v>0</v>
          </cell>
          <cell r="Z6109">
            <v>0</v>
          </cell>
        </row>
        <row r="6110">
          <cell r="U6110">
            <v>0</v>
          </cell>
          <cell r="Z6110">
            <v>0</v>
          </cell>
        </row>
        <row r="6111">
          <cell r="U6111">
            <v>0</v>
          </cell>
          <cell r="Z6111">
            <v>0</v>
          </cell>
        </row>
        <row r="6112">
          <cell r="U6112">
            <v>0</v>
          </cell>
          <cell r="Z6112">
            <v>0</v>
          </cell>
        </row>
        <row r="6113">
          <cell r="U6113">
            <v>0</v>
          </cell>
          <cell r="Z6113">
            <v>0</v>
          </cell>
        </row>
        <row r="6114">
          <cell r="U6114">
            <v>0</v>
          </cell>
          <cell r="Z6114">
            <v>0</v>
          </cell>
        </row>
        <row r="6115">
          <cell r="U6115">
            <v>0</v>
          </cell>
          <cell r="Z6115">
            <v>0</v>
          </cell>
        </row>
        <row r="6116">
          <cell r="U6116">
            <v>0</v>
          </cell>
          <cell r="Z6116">
            <v>0</v>
          </cell>
        </row>
        <row r="6117">
          <cell r="U6117">
            <v>0</v>
          </cell>
          <cell r="Z6117">
            <v>0</v>
          </cell>
        </row>
        <row r="6118">
          <cell r="U6118">
            <v>0</v>
          </cell>
          <cell r="Z6118">
            <v>0</v>
          </cell>
        </row>
        <row r="6119">
          <cell r="U6119">
            <v>0</v>
          </cell>
          <cell r="Z6119">
            <v>0</v>
          </cell>
        </row>
        <row r="6120">
          <cell r="U6120">
            <v>0</v>
          </cell>
          <cell r="Z6120">
            <v>0</v>
          </cell>
        </row>
        <row r="6121">
          <cell r="U6121">
            <v>0</v>
          </cell>
          <cell r="Z6121">
            <v>0</v>
          </cell>
        </row>
        <row r="6122">
          <cell r="U6122">
            <v>0</v>
          </cell>
          <cell r="Z6122">
            <v>0</v>
          </cell>
        </row>
        <row r="6123">
          <cell r="U6123">
            <v>0</v>
          </cell>
          <cell r="Z6123">
            <v>0</v>
          </cell>
        </row>
        <row r="6124">
          <cell r="U6124">
            <v>0</v>
          </cell>
          <cell r="Z6124">
            <v>0</v>
          </cell>
        </row>
        <row r="6125">
          <cell r="U6125">
            <v>0</v>
          </cell>
          <cell r="Z6125">
            <v>0</v>
          </cell>
        </row>
        <row r="6126">
          <cell r="U6126">
            <v>0</v>
          </cell>
          <cell r="Z6126">
            <v>0</v>
          </cell>
        </row>
        <row r="6127">
          <cell r="U6127">
            <v>0</v>
          </cell>
          <cell r="Z6127">
            <v>0</v>
          </cell>
        </row>
        <row r="6128">
          <cell r="U6128">
            <v>0</v>
          </cell>
          <cell r="Z6128">
            <v>0</v>
          </cell>
        </row>
        <row r="6129">
          <cell r="U6129">
            <v>0</v>
          </cell>
          <cell r="Z6129">
            <v>0</v>
          </cell>
        </row>
        <row r="6130">
          <cell r="U6130">
            <v>0</v>
          </cell>
          <cell r="Z6130">
            <v>0</v>
          </cell>
        </row>
        <row r="6131">
          <cell r="U6131">
            <v>0</v>
          </cell>
          <cell r="Z6131">
            <v>0</v>
          </cell>
        </row>
        <row r="6132">
          <cell r="U6132">
            <v>0</v>
          </cell>
          <cell r="Z6132">
            <v>0</v>
          </cell>
        </row>
        <row r="6133">
          <cell r="U6133">
            <v>0</v>
          </cell>
          <cell r="Z6133">
            <v>0</v>
          </cell>
        </row>
        <row r="6134">
          <cell r="U6134">
            <v>0</v>
          </cell>
          <cell r="Z6134">
            <v>0</v>
          </cell>
        </row>
        <row r="6135">
          <cell r="U6135">
            <v>0</v>
          </cell>
          <cell r="Z6135">
            <v>0</v>
          </cell>
        </row>
        <row r="6136">
          <cell r="U6136">
            <v>0</v>
          </cell>
          <cell r="Z6136">
            <v>0</v>
          </cell>
        </row>
        <row r="6137">
          <cell r="U6137">
            <v>0</v>
          </cell>
          <cell r="Z6137">
            <v>0</v>
          </cell>
        </row>
        <row r="6138">
          <cell r="U6138">
            <v>0</v>
          </cell>
          <cell r="Z6138">
            <v>0</v>
          </cell>
        </row>
        <row r="6139">
          <cell r="U6139">
            <v>0</v>
          </cell>
          <cell r="Z6139">
            <v>0</v>
          </cell>
        </row>
        <row r="6140">
          <cell r="U6140">
            <v>0</v>
          </cell>
          <cell r="Z6140">
            <v>0</v>
          </cell>
        </row>
        <row r="6141">
          <cell r="U6141">
            <v>0</v>
          </cell>
          <cell r="Z6141">
            <v>0</v>
          </cell>
        </row>
        <row r="6142">
          <cell r="U6142">
            <v>0</v>
          </cell>
          <cell r="Z6142">
            <v>0</v>
          </cell>
        </row>
        <row r="6143">
          <cell r="U6143">
            <v>0</v>
          </cell>
          <cell r="Z6143">
            <v>0</v>
          </cell>
        </row>
        <row r="6144">
          <cell r="U6144">
            <v>0</v>
          </cell>
          <cell r="Z6144">
            <v>0</v>
          </cell>
        </row>
        <row r="6145">
          <cell r="U6145">
            <v>0</v>
          </cell>
          <cell r="Z6145">
            <v>0</v>
          </cell>
        </row>
        <row r="6146">
          <cell r="U6146">
            <v>0</v>
          </cell>
          <cell r="Z6146">
            <v>0</v>
          </cell>
        </row>
        <row r="6147">
          <cell r="U6147">
            <v>0</v>
          </cell>
          <cell r="Z6147">
            <v>0</v>
          </cell>
        </row>
        <row r="6148">
          <cell r="U6148">
            <v>0</v>
          </cell>
          <cell r="Z6148">
            <v>0</v>
          </cell>
        </row>
        <row r="6149">
          <cell r="U6149">
            <v>0</v>
          </cell>
          <cell r="Z6149">
            <v>0</v>
          </cell>
        </row>
        <row r="6150">
          <cell r="U6150">
            <v>0</v>
          </cell>
          <cell r="Z6150">
            <v>0</v>
          </cell>
        </row>
        <row r="6151">
          <cell r="U6151">
            <v>0</v>
          </cell>
          <cell r="Z6151">
            <v>0</v>
          </cell>
        </row>
        <row r="6152">
          <cell r="U6152">
            <v>0</v>
          </cell>
          <cell r="Z6152">
            <v>0</v>
          </cell>
        </row>
        <row r="6153">
          <cell r="U6153">
            <v>0</v>
          </cell>
          <cell r="Z6153">
            <v>0</v>
          </cell>
        </row>
        <row r="6154">
          <cell r="U6154">
            <v>0</v>
          </cell>
          <cell r="Z6154">
            <v>0</v>
          </cell>
        </row>
        <row r="6155">
          <cell r="U6155">
            <v>0</v>
          </cell>
          <cell r="Z6155">
            <v>0</v>
          </cell>
        </row>
        <row r="6156">
          <cell r="U6156">
            <v>0</v>
          </cell>
          <cell r="Z6156">
            <v>0</v>
          </cell>
        </row>
        <row r="6157">
          <cell r="U6157">
            <v>0</v>
          </cell>
          <cell r="Z6157">
            <v>0</v>
          </cell>
        </row>
        <row r="6158">
          <cell r="U6158">
            <v>0</v>
          </cell>
          <cell r="Z6158">
            <v>0</v>
          </cell>
        </row>
        <row r="6159">
          <cell r="U6159">
            <v>0</v>
          </cell>
          <cell r="Z6159">
            <v>0</v>
          </cell>
        </row>
        <row r="6160">
          <cell r="U6160">
            <v>0</v>
          </cell>
          <cell r="Z6160">
            <v>0</v>
          </cell>
        </row>
        <row r="6161">
          <cell r="U6161">
            <v>0</v>
          </cell>
          <cell r="Z6161">
            <v>0</v>
          </cell>
        </row>
        <row r="6162">
          <cell r="U6162">
            <v>0</v>
          </cell>
          <cell r="Z6162">
            <v>0</v>
          </cell>
        </row>
        <row r="6163">
          <cell r="U6163">
            <v>0</v>
          </cell>
          <cell r="Z6163">
            <v>0</v>
          </cell>
        </row>
        <row r="6164">
          <cell r="U6164">
            <v>0</v>
          </cell>
          <cell r="Z6164">
            <v>0</v>
          </cell>
        </row>
        <row r="6165">
          <cell r="U6165">
            <v>0</v>
          </cell>
          <cell r="Z6165">
            <v>0</v>
          </cell>
        </row>
        <row r="6166">
          <cell r="U6166">
            <v>0</v>
          </cell>
          <cell r="Z6166">
            <v>0</v>
          </cell>
        </row>
        <row r="6167">
          <cell r="U6167">
            <v>0</v>
          </cell>
          <cell r="Z6167">
            <v>0</v>
          </cell>
        </row>
        <row r="6168">
          <cell r="U6168">
            <v>0</v>
          </cell>
          <cell r="Z6168">
            <v>0</v>
          </cell>
        </row>
        <row r="6169">
          <cell r="U6169">
            <v>0</v>
          </cell>
          <cell r="Z6169">
            <v>0</v>
          </cell>
        </row>
        <row r="6170">
          <cell r="U6170">
            <v>0</v>
          </cell>
          <cell r="Z6170">
            <v>0</v>
          </cell>
        </row>
        <row r="6171">
          <cell r="U6171">
            <v>0</v>
          </cell>
          <cell r="Z6171">
            <v>0</v>
          </cell>
        </row>
        <row r="6172">
          <cell r="U6172">
            <v>0</v>
          </cell>
          <cell r="Z6172">
            <v>0</v>
          </cell>
        </row>
        <row r="6173">
          <cell r="U6173">
            <v>0</v>
          </cell>
          <cell r="Z6173">
            <v>0</v>
          </cell>
        </row>
        <row r="6174">
          <cell r="U6174">
            <v>0</v>
          </cell>
          <cell r="Z6174">
            <v>0</v>
          </cell>
        </row>
        <row r="6175">
          <cell r="U6175">
            <v>0</v>
          </cell>
          <cell r="Z6175">
            <v>0</v>
          </cell>
        </row>
        <row r="6176">
          <cell r="U6176">
            <v>0</v>
          </cell>
          <cell r="Z6176">
            <v>0</v>
          </cell>
        </row>
        <row r="6177">
          <cell r="U6177">
            <v>0</v>
          </cell>
          <cell r="Z6177">
            <v>0</v>
          </cell>
        </row>
        <row r="6178">
          <cell r="U6178">
            <v>0</v>
          </cell>
          <cell r="Z6178">
            <v>0</v>
          </cell>
        </row>
        <row r="6179">
          <cell r="U6179">
            <v>0</v>
          </cell>
          <cell r="Z6179">
            <v>0</v>
          </cell>
        </row>
        <row r="6180">
          <cell r="U6180">
            <v>0</v>
          </cell>
          <cell r="Z6180">
            <v>0</v>
          </cell>
        </row>
        <row r="6181">
          <cell r="U6181">
            <v>0</v>
          </cell>
          <cell r="Z6181">
            <v>0</v>
          </cell>
        </row>
        <row r="6182">
          <cell r="U6182">
            <v>0</v>
          </cell>
          <cell r="Z6182">
            <v>0</v>
          </cell>
        </row>
        <row r="6183">
          <cell r="U6183">
            <v>0</v>
          </cell>
          <cell r="Z6183">
            <v>0</v>
          </cell>
        </row>
        <row r="6184">
          <cell r="U6184">
            <v>0</v>
          </cell>
          <cell r="Z6184">
            <v>0</v>
          </cell>
        </row>
        <row r="6185">
          <cell r="U6185">
            <v>0</v>
          </cell>
          <cell r="Z6185">
            <v>0</v>
          </cell>
        </row>
        <row r="6186">
          <cell r="U6186">
            <v>0</v>
          </cell>
          <cell r="Z6186">
            <v>0</v>
          </cell>
        </row>
        <row r="6187">
          <cell r="U6187">
            <v>0</v>
          </cell>
          <cell r="Z6187">
            <v>0</v>
          </cell>
        </row>
        <row r="6188">
          <cell r="U6188">
            <v>0</v>
          </cell>
          <cell r="Z6188">
            <v>0</v>
          </cell>
        </row>
        <row r="6189">
          <cell r="U6189">
            <v>0</v>
          </cell>
          <cell r="Z6189">
            <v>0</v>
          </cell>
        </row>
        <row r="6190">
          <cell r="U6190">
            <v>0</v>
          </cell>
          <cell r="Z6190">
            <v>0</v>
          </cell>
        </row>
        <row r="6191">
          <cell r="U6191">
            <v>0</v>
          </cell>
          <cell r="Z6191">
            <v>0</v>
          </cell>
        </row>
        <row r="6192">
          <cell r="U6192">
            <v>0</v>
          </cell>
          <cell r="Z6192">
            <v>0</v>
          </cell>
        </row>
        <row r="6193">
          <cell r="U6193">
            <v>0</v>
          </cell>
          <cell r="Z6193">
            <v>0</v>
          </cell>
        </row>
        <row r="6194">
          <cell r="U6194">
            <v>0</v>
          </cell>
          <cell r="Z6194">
            <v>0</v>
          </cell>
        </row>
        <row r="6195">
          <cell r="U6195">
            <v>0</v>
          </cell>
          <cell r="Z6195">
            <v>0</v>
          </cell>
        </row>
        <row r="6196">
          <cell r="U6196">
            <v>0</v>
          </cell>
          <cell r="Z6196">
            <v>0</v>
          </cell>
        </row>
        <row r="6197">
          <cell r="U6197">
            <v>0</v>
          </cell>
          <cell r="Z6197">
            <v>0</v>
          </cell>
        </row>
        <row r="6198">
          <cell r="U6198">
            <v>0</v>
          </cell>
          <cell r="Z6198">
            <v>0</v>
          </cell>
        </row>
        <row r="6199">
          <cell r="U6199">
            <v>0</v>
          </cell>
          <cell r="Z6199">
            <v>0</v>
          </cell>
        </row>
        <row r="6200">
          <cell r="U6200">
            <v>0</v>
          </cell>
          <cell r="Z6200">
            <v>0</v>
          </cell>
        </row>
        <row r="6201">
          <cell r="U6201">
            <v>0</v>
          </cell>
          <cell r="Z6201">
            <v>0</v>
          </cell>
        </row>
        <row r="6202">
          <cell r="U6202">
            <v>0</v>
          </cell>
          <cell r="Z6202">
            <v>0</v>
          </cell>
        </row>
        <row r="6203">
          <cell r="U6203">
            <v>0</v>
          </cell>
          <cell r="Z6203">
            <v>0</v>
          </cell>
        </row>
        <row r="6204">
          <cell r="U6204">
            <v>0</v>
          </cell>
          <cell r="Z6204">
            <v>0</v>
          </cell>
        </row>
        <row r="6205">
          <cell r="U6205">
            <v>0</v>
          </cell>
          <cell r="Z6205">
            <v>0</v>
          </cell>
        </row>
        <row r="6206">
          <cell r="U6206">
            <v>0</v>
          </cell>
          <cell r="Z6206">
            <v>0</v>
          </cell>
        </row>
        <row r="6207">
          <cell r="U6207">
            <v>0</v>
          </cell>
          <cell r="Z6207">
            <v>0</v>
          </cell>
        </row>
        <row r="6208">
          <cell r="U6208">
            <v>0</v>
          </cell>
          <cell r="Z6208">
            <v>0</v>
          </cell>
        </row>
        <row r="6209">
          <cell r="U6209">
            <v>0</v>
          </cell>
          <cell r="Z6209">
            <v>0</v>
          </cell>
        </row>
        <row r="6210">
          <cell r="U6210">
            <v>0</v>
          </cell>
          <cell r="Z6210">
            <v>0</v>
          </cell>
        </row>
        <row r="6211">
          <cell r="U6211">
            <v>0</v>
          </cell>
          <cell r="Z6211">
            <v>0</v>
          </cell>
        </row>
        <row r="6212">
          <cell r="U6212">
            <v>0</v>
          </cell>
          <cell r="Z6212">
            <v>0</v>
          </cell>
        </row>
        <row r="6213">
          <cell r="U6213">
            <v>0</v>
          </cell>
          <cell r="Z6213">
            <v>0</v>
          </cell>
        </row>
        <row r="6214">
          <cell r="U6214">
            <v>0</v>
          </cell>
          <cell r="Z6214">
            <v>0</v>
          </cell>
        </row>
        <row r="6215">
          <cell r="U6215">
            <v>0</v>
          </cell>
          <cell r="Z6215">
            <v>0</v>
          </cell>
        </row>
        <row r="6216">
          <cell r="U6216">
            <v>0</v>
          </cell>
          <cell r="Z6216">
            <v>0</v>
          </cell>
        </row>
        <row r="6217">
          <cell r="U6217">
            <v>0</v>
          </cell>
          <cell r="Z6217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HIRE"/>
      <sheetName val="Sheet2"/>
      <sheetName val="1. JE,GL"/>
      <sheetName val="2. NERACA LAJUR "/>
      <sheetName val="3. NERACA"/>
      <sheetName val="4. LABA RUGI"/>
    </sheetNames>
    <sheetDataSet>
      <sheetData sheetId="0" refreshError="1"/>
      <sheetData sheetId="1" refreshError="1"/>
      <sheetData sheetId="2" refreshError="1"/>
      <sheetData sheetId="3">
        <row r="3">
          <cell r="B3" t="str">
            <v>Neraca Saldo Awal</v>
          </cell>
          <cell r="L3" t="str">
            <v>Neraca Saldo Akhir</v>
          </cell>
        </row>
        <row r="4">
          <cell r="B4" t="str">
            <v>Debit</v>
          </cell>
          <cell r="C4" t="str">
            <v>Kredit</v>
          </cell>
          <cell r="L4" t="str">
            <v>Debit</v>
          </cell>
          <cell r="M4" t="str">
            <v>Kredit</v>
          </cell>
        </row>
        <row r="5">
          <cell r="A5" t="str">
            <v>Kas Kantor</v>
          </cell>
          <cell r="B5">
            <v>4477313</v>
          </cell>
          <cell r="L5">
            <v>5279035</v>
          </cell>
        </row>
        <row r="6">
          <cell r="A6" t="str">
            <v>Kas Lounge</v>
          </cell>
          <cell r="B6">
            <v>241260</v>
          </cell>
          <cell r="L6">
            <v>241260</v>
          </cell>
        </row>
        <row r="8">
          <cell r="A8" t="str">
            <v>Bank BRI 042501000611300</v>
          </cell>
          <cell r="B8">
            <v>579023587.57690001</v>
          </cell>
          <cell r="L8">
            <v>830823918.57690001</v>
          </cell>
        </row>
        <row r="9">
          <cell r="A9" t="str">
            <v>Bank BRI 042501000610304</v>
          </cell>
          <cell r="B9">
            <v>2085885</v>
          </cell>
          <cell r="L9">
            <v>159699544</v>
          </cell>
        </row>
        <row r="10">
          <cell r="A10" t="str">
            <v>Bank BCA 5510704446</v>
          </cell>
          <cell r="B10">
            <v>724166192</v>
          </cell>
          <cell r="L10">
            <v>773562012</v>
          </cell>
        </row>
        <row r="11">
          <cell r="A11" t="str">
            <v>Mandiri</v>
          </cell>
          <cell r="B11">
            <v>4096222</v>
          </cell>
          <cell r="L11">
            <v>4096222</v>
          </cell>
        </row>
        <row r="12">
          <cell r="A12" t="str">
            <v>BNI</v>
          </cell>
          <cell r="B12">
            <v>135579566</v>
          </cell>
          <cell r="L12">
            <v>315852294</v>
          </cell>
        </row>
        <row r="14">
          <cell r="A14" t="str">
            <v>Piutang Bank BRI</v>
          </cell>
          <cell r="B14">
            <v>16677818</v>
          </cell>
          <cell r="L14">
            <v>45115637</v>
          </cell>
        </row>
        <row r="15">
          <cell r="A15" t="str">
            <v>Piutang PT Bank Negara Indonesia</v>
          </cell>
          <cell r="B15">
            <v>0</v>
          </cell>
          <cell r="L15">
            <v>0</v>
          </cell>
        </row>
        <row r="16">
          <cell r="A16" t="str">
            <v>Piutang PT Bank UOB</v>
          </cell>
          <cell r="B16">
            <v>153201138</v>
          </cell>
          <cell r="L16">
            <v>215599999.60000002</v>
          </cell>
        </row>
        <row r="17">
          <cell r="A17" t="str">
            <v>Piutang PT Infomedia Nusantara</v>
          </cell>
          <cell r="B17">
            <v>12219997</v>
          </cell>
          <cell r="L17">
            <v>15209996.800000001</v>
          </cell>
        </row>
        <row r="18">
          <cell r="A18" t="str">
            <v>Piutang PT Indonesia Air Asia</v>
          </cell>
          <cell r="B18">
            <v>6600000</v>
          </cell>
          <cell r="L18">
            <v>6600000</v>
          </cell>
        </row>
        <row r="19">
          <cell r="A19" t="str">
            <v>Piutang ICBC</v>
          </cell>
          <cell r="L19">
            <v>0</v>
          </cell>
        </row>
        <row r="20">
          <cell r="A20" t="str">
            <v>Piutang DANAMON</v>
          </cell>
          <cell r="B20">
            <v>20460000</v>
          </cell>
          <cell r="L20">
            <v>18764000</v>
          </cell>
        </row>
        <row r="21">
          <cell r="A21" t="str">
            <v>Piutang MUAMALAT</v>
          </cell>
          <cell r="B21">
            <v>11770000</v>
          </cell>
          <cell r="L21">
            <v>16720000</v>
          </cell>
        </row>
        <row r="22">
          <cell r="A22" t="str">
            <v>Piutang Batik Airlines</v>
          </cell>
          <cell r="B22">
            <v>7680000</v>
          </cell>
          <cell r="L22">
            <v>7680000</v>
          </cell>
        </row>
        <row r="23">
          <cell r="A23" t="str">
            <v>Piutang Gaya Spa</v>
          </cell>
          <cell r="B23">
            <v>23000000</v>
          </cell>
          <cell r="L23">
            <v>23000000</v>
          </cell>
        </row>
        <row r="24">
          <cell r="A24" t="str">
            <v xml:space="preserve">Piutang Q n B </v>
          </cell>
          <cell r="B24">
            <v>880000</v>
          </cell>
          <cell r="L24">
            <v>550000</v>
          </cell>
        </row>
        <row r="25">
          <cell r="A25" t="str">
            <v>Piutang PRIORITY PASS</v>
          </cell>
          <cell r="L25">
            <v>17726000</v>
          </cell>
        </row>
        <row r="26">
          <cell r="A26" t="str">
            <v xml:space="preserve">Piutang PT Sriwijaya Air </v>
          </cell>
          <cell r="B26">
            <v>17058364</v>
          </cell>
          <cell r="L26">
            <v>17058364</v>
          </cell>
        </row>
        <row r="27">
          <cell r="A27" t="str">
            <v>Piutang PT Lion Mentari Airlines</v>
          </cell>
          <cell r="B27">
            <v>13560000</v>
          </cell>
          <cell r="L27">
            <v>13560000</v>
          </cell>
        </row>
        <row r="28">
          <cell r="A28" t="str">
            <v>Piutang Malindo Airlines</v>
          </cell>
          <cell r="B28">
            <v>72000000</v>
          </cell>
          <cell r="L28">
            <v>19560000</v>
          </cell>
        </row>
        <row r="29">
          <cell r="A29" t="str">
            <v xml:space="preserve">Piutang BJB </v>
          </cell>
          <cell r="L29">
            <v>-0.40000000037252903</v>
          </cell>
        </row>
        <row r="30">
          <cell r="A30" t="str">
            <v>Piutang BTN</v>
          </cell>
          <cell r="L30">
            <v>2160000</v>
          </cell>
        </row>
        <row r="31">
          <cell r="A31" t="str">
            <v>Piutang mandiri</v>
          </cell>
          <cell r="L31">
            <v>26299636.719999999</v>
          </cell>
        </row>
        <row r="32">
          <cell r="C32">
            <v>0</v>
          </cell>
          <cell r="L32">
            <v>0</v>
          </cell>
        </row>
        <row r="33">
          <cell r="A33" t="str">
            <v>Piutang Karyawan - Yuni</v>
          </cell>
          <cell r="B33">
            <v>5500000</v>
          </cell>
          <cell r="L33">
            <v>5000000</v>
          </cell>
        </row>
        <row r="34">
          <cell r="A34" t="str">
            <v>Piutang Karyawan - Rama</v>
          </cell>
          <cell r="L34">
            <v>5000000</v>
          </cell>
        </row>
        <row r="35">
          <cell r="A35" t="str">
            <v>Piutang Karyawan - Ridwan</v>
          </cell>
          <cell r="L35">
            <v>0</v>
          </cell>
        </row>
        <row r="37">
          <cell r="A37" t="str">
            <v>Piutang Lounge Jambi</v>
          </cell>
          <cell r="B37">
            <v>834783048</v>
          </cell>
          <cell r="L37">
            <v>834783048</v>
          </cell>
        </row>
        <row r="38">
          <cell r="A38" t="str">
            <v>Piutang PT Trikama Boga</v>
          </cell>
          <cell r="B38">
            <v>232706666</v>
          </cell>
          <cell r="L38">
            <v>232706666</v>
          </cell>
        </row>
        <row r="40">
          <cell r="A40" t="str">
            <v>Pendapatan Yang Masih harus diterima</v>
          </cell>
          <cell r="L40">
            <v>654540000</v>
          </cell>
        </row>
        <row r="42">
          <cell r="A42" t="str">
            <v>Aset lancar lainnya</v>
          </cell>
          <cell r="B42">
            <v>962927774</v>
          </cell>
          <cell r="L42">
            <v>1.2799999713897705</v>
          </cell>
        </row>
        <row r="43">
          <cell r="A43" t="str">
            <v>APS receivables</v>
          </cell>
          <cell r="B43">
            <v>12883987.858372301</v>
          </cell>
          <cell r="L43">
            <v>12883987.858372301</v>
          </cell>
        </row>
        <row r="44">
          <cell r="A44" t="str">
            <v>TB receivables</v>
          </cell>
          <cell r="B44">
            <v>8589325.2389148772</v>
          </cell>
          <cell r="L44">
            <v>8589325.2389148772</v>
          </cell>
        </row>
        <row r="46">
          <cell r="A46" t="str">
            <v>PPN - Pemungut</v>
          </cell>
          <cell r="L46">
            <v>0</v>
          </cell>
        </row>
        <row r="47">
          <cell r="A47" t="str">
            <v>PPN Masukan</v>
          </cell>
          <cell r="L47">
            <v>0</v>
          </cell>
        </row>
        <row r="48">
          <cell r="A48" t="str">
            <v>PPN Keluaran</v>
          </cell>
          <cell r="L48">
            <v>0</v>
          </cell>
        </row>
        <row r="50">
          <cell r="A50" t="str">
            <v>Uang Muka Pembelian</v>
          </cell>
          <cell r="L50">
            <v>4400000</v>
          </cell>
        </row>
        <row r="51">
          <cell r="A51" t="str">
            <v>Uang Muka Operasional</v>
          </cell>
          <cell r="L51">
            <v>1700000</v>
          </cell>
        </row>
        <row r="52">
          <cell r="A52" t="str">
            <v>Uang Muka Belanja Pasar</v>
          </cell>
          <cell r="L52">
            <v>1507913</v>
          </cell>
        </row>
        <row r="53">
          <cell r="A53" t="str">
            <v>Uang Muka Fastrack</v>
          </cell>
          <cell r="L53">
            <v>20000000</v>
          </cell>
        </row>
        <row r="54">
          <cell r="A54" t="str">
            <v>Uang Muka Lounge Umroh</v>
          </cell>
          <cell r="L54">
            <v>60000000</v>
          </cell>
        </row>
        <row r="55">
          <cell r="A55" t="str">
            <v xml:space="preserve">Uang Muka Sewa gudang lounge Umroh </v>
          </cell>
          <cell r="L55">
            <v>36000000</v>
          </cell>
        </row>
        <row r="57">
          <cell r="A57" t="str">
            <v>Peralatan Kantor</v>
          </cell>
          <cell r="B57">
            <v>52792796</v>
          </cell>
          <cell r="L57">
            <v>52792796</v>
          </cell>
        </row>
        <row r="58">
          <cell r="A58" t="str">
            <v>Peralatan Lounge</v>
          </cell>
          <cell r="B58">
            <v>418854923</v>
          </cell>
          <cell r="L58">
            <v>418854923</v>
          </cell>
        </row>
        <row r="59">
          <cell r="A59" t="str">
            <v>Peralatan Lounge Umroh</v>
          </cell>
          <cell r="B59">
            <v>0</v>
          </cell>
          <cell r="L59">
            <v>90571000</v>
          </cell>
        </row>
        <row r="60">
          <cell r="A60" t="str">
            <v>Partisi Gedung</v>
          </cell>
          <cell r="B60">
            <v>3020097793</v>
          </cell>
          <cell r="L60">
            <v>3020097793</v>
          </cell>
        </row>
        <row r="61">
          <cell r="A61" t="str">
            <v>Akum. Penys. Peralatan Kantor</v>
          </cell>
          <cell r="B61">
            <v>-30901639.25</v>
          </cell>
          <cell r="L61">
            <v>-30946858</v>
          </cell>
        </row>
        <row r="62">
          <cell r="A62" t="str">
            <v>Akum. Penys. Peralatan Lounge</v>
          </cell>
          <cell r="B62">
            <v>-331572458.41666698</v>
          </cell>
          <cell r="L62">
            <v>-331942645.91666698</v>
          </cell>
        </row>
        <row r="63">
          <cell r="A63" t="str">
            <v>Akum. Peny.  Peralatan Lounge Umroh</v>
          </cell>
          <cell r="B63">
            <v>0</v>
          </cell>
          <cell r="L63">
            <v>0</v>
          </cell>
        </row>
        <row r="64">
          <cell r="A64" t="str">
            <v>Akum. Penys. Partisi Gedung</v>
          </cell>
          <cell r="B64">
            <v>-1739220786.5</v>
          </cell>
          <cell r="L64">
            <v>-1776893639.625</v>
          </cell>
        </row>
        <row r="66">
          <cell r="A66" t="str">
            <v>Utang Usaha - PT. Utama Karya Sentosa ( Union )</v>
          </cell>
          <cell r="M66">
            <v>0</v>
          </cell>
        </row>
        <row r="67">
          <cell r="A67" t="str">
            <v>Utang Usaha - PT. Indomarco Adi Prima</v>
          </cell>
          <cell r="M67">
            <v>0</v>
          </cell>
        </row>
        <row r="68">
          <cell r="A68" t="str">
            <v>PT Atori Kreasi</v>
          </cell>
          <cell r="M68">
            <v>0</v>
          </cell>
        </row>
        <row r="69">
          <cell r="A69" t="str">
            <v>Utang Usaha - PT Amanah Prima Indonesia</v>
          </cell>
          <cell r="M69">
            <v>0</v>
          </cell>
        </row>
        <row r="70">
          <cell r="A70" t="str">
            <v>Utang Usaha - Toko Siap Ayam</v>
          </cell>
          <cell r="M70">
            <v>0</v>
          </cell>
        </row>
        <row r="72">
          <cell r="A72" t="str">
            <v>BYMHD - Konsesi Lounge (APS)</v>
          </cell>
          <cell r="C72">
            <v>2769862921</v>
          </cell>
          <cell r="M72">
            <v>2923824421</v>
          </cell>
        </row>
        <row r="73">
          <cell r="A73" t="str">
            <v>BYMHD - Sewa Ruang (APS)</v>
          </cell>
          <cell r="C73">
            <v>2358776593</v>
          </cell>
          <cell r="M73">
            <v>2448084593</v>
          </cell>
        </row>
        <row r="74">
          <cell r="A74" t="str">
            <v>BYMHD - Pajak PPh 21</v>
          </cell>
          <cell r="M74">
            <v>0</v>
          </cell>
        </row>
        <row r="75">
          <cell r="A75" t="str">
            <v>BYMHD - lain-lain</v>
          </cell>
          <cell r="C75">
            <v>35000000</v>
          </cell>
          <cell r="M75">
            <v>16640000</v>
          </cell>
        </row>
        <row r="77">
          <cell r="A77" t="str">
            <v>VAT Out (PPn keluaran)</v>
          </cell>
          <cell r="C77">
            <v>88579257</v>
          </cell>
          <cell r="M77">
            <v>136412727.36363637</v>
          </cell>
        </row>
        <row r="78">
          <cell r="A78" t="str">
            <v xml:space="preserve">Utang Pajak Daerah (PB1) </v>
          </cell>
          <cell r="M78">
            <v>0</v>
          </cell>
        </row>
        <row r="80">
          <cell r="A80" t="str">
            <v>Utang pembagian keuntungan bersih 2016,2017-APS</v>
          </cell>
          <cell r="M80">
            <v>0</v>
          </cell>
        </row>
        <row r="81">
          <cell r="A81" t="str">
            <v>Utang pembagian keuntungan bersih 2016,2017-TB</v>
          </cell>
          <cell r="M81">
            <v>0</v>
          </cell>
        </row>
        <row r="84">
          <cell r="A84" t="str">
            <v>Pendapatan Walk In</v>
          </cell>
        </row>
        <row r="85">
          <cell r="A85" t="str">
            <v>Pendapatan Service</v>
          </cell>
        </row>
        <row r="86">
          <cell r="A86" t="str">
            <v>Pendapatan Spa</v>
          </cell>
        </row>
        <row r="88">
          <cell r="A88" t="str">
            <v>Biaya Lounge Insentif</v>
          </cell>
        </row>
        <row r="89">
          <cell r="A89" t="str">
            <v>Biaya Pajak PPH 21</v>
          </cell>
        </row>
        <row r="90">
          <cell r="A90" t="str">
            <v>Biaya Gaji</v>
          </cell>
        </row>
        <row r="91">
          <cell r="A91" t="str">
            <v>Biaya Asuransi Karyawan BPJS Kesehatan</v>
          </cell>
        </row>
        <row r="92">
          <cell r="A92" t="str">
            <v>Biaya Asuransi Karyawan BPJS TK</v>
          </cell>
        </row>
        <row r="93">
          <cell r="A93" t="str">
            <v>Biaya Outsourchin ISS</v>
          </cell>
        </row>
        <row r="94">
          <cell r="A94" t="str">
            <v>Biaya Lounge Air, Listrik dan Telepon</v>
          </cell>
        </row>
        <row r="95">
          <cell r="A95" t="str">
            <v>Biaya Lounge ATK</v>
          </cell>
        </row>
        <row r="96">
          <cell r="A96" t="str">
            <v>Biaya Lounge Bahan Baku</v>
          </cell>
        </row>
        <row r="97">
          <cell r="A97" t="str">
            <v>Biaya Lounge BBm</v>
          </cell>
        </row>
        <row r="98">
          <cell r="A98" t="str">
            <v>Biaya Lounge HO</v>
          </cell>
        </row>
        <row r="99">
          <cell r="A99" t="str">
            <v>Biaya Lounge Jasa Lainnya</v>
          </cell>
        </row>
        <row r="100">
          <cell r="A100" t="str">
            <v>Biaya Lounge Keamanan dan Kebersihan</v>
          </cell>
        </row>
        <row r="101">
          <cell r="A101" t="str">
            <v>Biaya Lounge Koran</v>
          </cell>
        </row>
        <row r="102">
          <cell r="A102" t="str">
            <v>Biaya Lounge Obat obatan</v>
          </cell>
        </row>
        <row r="103">
          <cell r="A103" t="str">
            <v>Biaya Lounge Pajak Daerah</v>
          </cell>
        </row>
        <row r="104">
          <cell r="A104" t="str">
            <v>Biaya Lounge Pass Bandara</v>
          </cell>
        </row>
        <row r="105">
          <cell r="A105" t="str">
            <v>Biaya Lounge Perawatan dan Perawatan</v>
          </cell>
        </row>
        <row r="106">
          <cell r="A106" t="str">
            <v>Biaya Lounge Peralatan</v>
          </cell>
        </row>
        <row r="107">
          <cell r="A107" t="str">
            <v>Biaya Lounge Perlengkapan</v>
          </cell>
        </row>
        <row r="108">
          <cell r="A108" t="str">
            <v>Biaya Lounge PB1</v>
          </cell>
        </row>
        <row r="109">
          <cell r="A109" t="str">
            <v>Biaya Lounge Promosi</v>
          </cell>
        </row>
        <row r="110">
          <cell r="A110" t="str">
            <v>Biaya Lounge Spedy atau internet</v>
          </cell>
        </row>
        <row r="111">
          <cell r="A111" t="str">
            <v>Biaya Lounge Transport</v>
          </cell>
        </row>
        <row r="112">
          <cell r="A112" t="str">
            <v>Biaya Lounge Umum</v>
          </cell>
        </row>
        <row r="113">
          <cell r="A113" t="str">
            <v>Biaya Lounge Sewa Lounge (APS)</v>
          </cell>
        </row>
        <row r="114">
          <cell r="A114" t="str">
            <v>Biaya Lounge Konsesi (APS)</v>
          </cell>
        </row>
        <row r="115">
          <cell r="A115" t="str">
            <v>Biaya Lounge Konsesi Sewa Tempat ATM CB</v>
          </cell>
        </row>
        <row r="116">
          <cell r="A116" t="str">
            <v xml:space="preserve">Biaya Lounge Sewa Gudang </v>
          </cell>
        </row>
        <row r="117">
          <cell r="A117" t="str">
            <v xml:space="preserve">Biaya Lounge Sewa Mobil </v>
          </cell>
        </row>
        <row r="118">
          <cell r="A118" t="str">
            <v>Biaya Sewa Mobil Lounge Umroh</v>
          </cell>
        </row>
        <row r="119">
          <cell r="A119" t="str">
            <v>Biaya Lounge Jasa GH</v>
          </cell>
        </row>
        <row r="121">
          <cell r="A121" t="str">
            <v>Biaya BBM</v>
          </cell>
        </row>
        <row r="122">
          <cell r="A122" t="str">
            <v>Biaya Transportasi</v>
          </cell>
        </row>
        <row r="123">
          <cell r="A123" t="str">
            <v>Biaya ATK</v>
          </cell>
        </row>
        <row r="124">
          <cell r="A124" t="str">
            <v>Biaya Pelatihan</v>
          </cell>
        </row>
        <row r="125">
          <cell r="A125" t="str">
            <v>Biaya telepon</v>
          </cell>
        </row>
        <row r="126">
          <cell r="A126" t="str">
            <v>Biaya Pengobatan</v>
          </cell>
        </row>
        <row r="127">
          <cell r="A127" t="str">
            <v>Beban Pajak</v>
          </cell>
        </row>
        <row r="128">
          <cell r="A128" t="str">
            <v>Biaya Penys. Kendaraan</v>
          </cell>
        </row>
        <row r="129">
          <cell r="A129" t="str">
            <v>Biaya Penys. Peralatan Kantor</v>
          </cell>
        </row>
        <row r="131">
          <cell r="A131" t="str">
            <v>Biaya Penys. Peralatan Lounge</v>
          </cell>
        </row>
        <row r="133">
          <cell r="A133" t="str">
            <v>Biaya Penys. Peralatan Lounge Umroh</v>
          </cell>
        </row>
        <row r="135">
          <cell r="A135" t="str">
            <v>Biaya Penys. Partisi Gedung</v>
          </cell>
        </row>
        <row r="136">
          <cell r="A136" t="str">
            <v>Biaya Penys. Aset</v>
          </cell>
        </row>
        <row r="137">
          <cell r="A137" t="str">
            <v>Biaya amortisasi operasional</v>
          </cell>
        </row>
        <row r="138">
          <cell r="A138" t="str">
            <v>Biaya Jasa Profesional</v>
          </cell>
        </row>
        <row r="139">
          <cell r="A139" t="str">
            <v>Biaya Penilaian</v>
          </cell>
        </row>
        <row r="140">
          <cell r="A140" t="str">
            <v>Biaya Service Charge Fee</v>
          </cell>
        </row>
        <row r="141">
          <cell r="A141" t="str">
            <v>Biaya Fastrack</v>
          </cell>
        </row>
        <row r="142">
          <cell r="A142" t="str">
            <v>Biaya Lounge Umroh</v>
          </cell>
        </row>
        <row r="143">
          <cell r="A143" t="str">
            <v>Biaya Denda BPJS TK</v>
          </cell>
        </row>
        <row r="144">
          <cell r="A144" t="str">
            <v xml:space="preserve">Beban PPh Pasal 23 </v>
          </cell>
        </row>
        <row r="145">
          <cell r="A145" t="str">
            <v>Biaya rapat</v>
          </cell>
        </row>
        <row r="146">
          <cell r="A146" t="str">
            <v>Biaya donasi</v>
          </cell>
        </row>
        <row r="147">
          <cell r="A147" t="str">
            <v>Biaya lain-lain</v>
          </cell>
        </row>
        <row r="148">
          <cell r="A148" t="str">
            <v>Biaya perjalanan dinas</v>
          </cell>
        </row>
        <row r="149">
          <cell r="A149" t="str">
            <v xml:space="preserve">Biaya Perbaikan dan Pemeliharaan </v>
          </cell>
        </row>
        <row r="150">
          <cell r="A150" t="str">
            <v xml:space="preserve">Biaya administrasi dan umum lain </v>
          </cell>
        </row>
        <row r="151">
          <cell r="A151" t="str">
            <v xml:space="preserve">Biaya Kantor </v>
          </cell>
        </row>
        <row r="152">
          <cell r="A152" t="str">
            <v xml:space="preserve">Biaya Konsumsi </v>
          </cell>
        </row>
        <row r="153">
          <cell r="A153" t="str">
            <v xml:space="preserve">Biaya Internet </v>
          </cell>
        </row>
        <row r="154">
          <cell r="A154" t="str">
            <v xml:space="preserve">Biaya Legal </v>
          </cell>
        </row>
        <row r="155">
          <cell r="A155" t="str">
            <v xml:space="preserve">Biaya Pengiriman </v>
          </cell>
        </row>
        <row r="156">
          <cell r="A156" t="str">
            <v>Biaya Administrasi Bank</v>
          </cell>
        </row>
        <row r="157">
          <cell r="A157" t="str">
            <v>Pajak Rekening atau pajak Jasa Giro</v>
          </cell>
        </row>
        <row r="159">
          <cell r="A159" t="str">
            <v>Bunga Rekening atau Jasa Giro</v>
          </cell>
        </row>
        <row r="160">
          <cell r="A160" t="str">
            <v>Pendapatan lain-lain</v>
          </cell>
        </row>
        <row r="162">
          <cell r="A162" t="str">
            <v>Laba berjalan</v>
          </cell>
          <cell r="M162">
            <v>329840487.26136363</v>
          </cell>
        </row>
        <row r="164">
          <cell r="B164">
            <v>5252218771.5075197</v>
          </cell>
          <cell r="C164">
            <v>5252218771</v>
          </cell>
          <cell r="L164">
            <v>5854802229.1325197</v>
          </cell>
          <cell r="M164">
            <v>5854802228.625</v>
          </cell>
        </row>
        <row r="165">
          <cell r="B165">
            <v>0.50751972198486328</v>
          </cell>
          <cell r="L165">
            <v>5854802229.1325197</v>
          </cell>
          <cell r="M165">
            <v>5854802228.625</v>
          </cell>
        </row>
      </sheetData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G:/FIle%20Kantor/My%20Document/Kerjaan/PT%20APS/UNIT%20BISNIS/Pen%20Parkir/PnL%20ALL%20AREA%20PARKING%20SERVICES%20Periode%20Jan%20-%20Okt%202023.xlsx" TargetMode="External" /><Relationship Id="rId1" Type="http://schemas.openxmlformats.org/officeDocument/2006/relationships/pivotCacheRecords" Target="pivotCacheRecords1.xml" 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G:/FIle%20Kantor/My%20Document/Kerjaan/PT%20APS/UNIT%20BISNIS/Pen%20Parkir/PnL%20ALL%20AREA%20PARKING%20SERVICES%20Periode%20Jan%20-%20Okt%202023.xlsx" TargetMode="External" /><Relationship Id="rId1" Type="http://schemas.openxmlformats.org/officeDocument/2006/relationships/pivotCacheRecords" Target="pivotCacheRecords2.xml" 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G:/FIle%20Kantor/My%20Document/Kerjaan/PT%20APS/UNIT%20BISNIS/Pen%20Parkir/PnL%20ALL%20AREA%20PARKING%20SERVICES%20Periode%20Jan%20-%20Okt%202023.xlsx" TargetMode="External" /><Relationship Id="rId1" Type="http://schemas.openxmlformats.org/officeDocument/2006/relationships/pivotCacheRecords" Target="pivotCacheRecords3.xml" 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G:/FIle%20Kantor/My%20Document/Kerjaan/PT%20APS/UNIT%20BISNIS/Pen%20Parkir/PnL%20ALL%20AREA%20PARKING%20SERVICES%20Periode%20Jan%20-%20Okt%202023.xlsx" TargetMode="External" /><Relationship Id="rId1" Type="http://schemas.openxmlformats.org/officeDocument/2006/relationships/pivotCacheRecords" Target="pivotCacheRecords4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wi Handjono W" refreshedDate="45161.619374884256" createdVersion="8" refreshedVersion="8" minRefreshableVersion="3" recordCount="373" xr:uid="{00000000-000A-0000-FFFF-FFFF00000000}">
  <cacheSource type="worksheet">
    <worksheetSource ref="A21:N396" sheet="DAILY SALES PARKIR 2023" r:id="rId2"/>
  </cacheSource>
  <cacheFields count="14">
    <cacheField name="NAMA" numFmtId="0">
      <sharedItems/>
    </cacheField>
    <cacheField name="CORPORATE &amp; ACCOUNT HOLDER" numFmtId="0">
      <sharedItems count="8">
        <s v="WALK-IN"/>
        <s v="QRIS"/>
        <s v="DRAGON PASS"/>
        <s v="BJB"/>
        <s v="HSBC"/>
        <s v="OCBC"/>
        <s v="PRIOTIY PASS"/>
        <s v="VIETJET"/>
      </sharedItems>
    </cacheField>
    <cacheField name="DATE" numFmtId="167">
      <sharedItems containsSemiMixedTypes="0" containsNonDate="0" containsDate="1" containsString="0" minDate="2023-05-11T00:00:00" maxDate="2023-08-23T00:00:00" count="104"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</sharedItems>
      <fieldGroup par="13"/>
    </cacheField>
    <cacheField name="BULAN" numFmtId="41">
      <sharedItems count="4">
        <s v="MAY"/>
        <s v="JUNE"/>
        <s v="JULY"/>
        <s v="AUGUST"/>
      </sharedItems>
    </cacheField>
    <cacheField name="QTY PAX" numFmtId="166">
      <sharedItems containsSemiMixedTypes="0" containsString="0" containsNumber="1" containsInteger="1" minValue="1" maxValue="225"/>
    </cacheField>
    <cacheField name="PRICE PAX" numFmtId="166">
      <sharedItems containsSemiMixedTypes="0" containsString="0" containsNumber="1" containsInteger="1" minValue="99000" maxValue="150000"/>
    </cacheField>
    <cacheField name="FLIGHT NUMBER" numFmtId="0">
      <sharedItems containsNonDate="0" containsString="0" containsBlank="1"/>
    </cacheField>
    <cacheField name="ROUTE" numFmtId="0">
      <sharedItems containsNonDate="0" containsString="0" containsBlank="1"/>
    </cacheField>
    <cacheField name="TOTAL PAX" numFmtId="166">
      <sharedItems containsSemiMixedTypes="0" containsString="0" containsNumber="1" containsInteger="1" minValue="1" maxValue="225"/>
    </cacheField>
    <cacheField name="TOTAL PRICE" numFmtId="166">
      <sharedItems containsSemiMixedTypes="0" containsString="0" containsNumber="1" containsInteger="1" minValue="99000" maxValue="22275000"/>
    </cacheField>
    <cacheField name="DESCRIPTION" numFmtId="0">
      <sharedItems containsNonDate="0" containsString="0" containsBlank="1"/>
    </cacheField>
    <cacheField name="ETD" numFmtId="167">
      <sharedItems containsNonDate="0" containsString="0" containsBlank="1"/>
    </cacheField>
    <cacheField name="Days (DATE)" numFmtId="0" databaseField="0">
      <fieldGroup base="2">
        <rangePr groupBy="days" startDate="2023-05-11T00:00:00" endDate="2023-08-23T00:00:00"/>
        <groupItems count="368">
          <s v="&lt;11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/08/2023"/>
        </groupItems>
      </fieldGroup>
    </cacheField>
    <cacheField name="Months (DATE)" numFmtId="0" databaseField="0">
      <fieldGroup base="2">
        <rangePr groupBy="months" startDate="2023-05-11T00:00:00" endDate="2023-08-23T00:00:00"/>
        <groupItems count="14">
          <s v="&lt;11/05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/08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phire" refreshedDate="45180.71863275463" createdVersion="8" refreshedVersion="8" minRefreshableVersion="3" recordCount="507" xr:uid="{00000000-000A-0000-FFFF-FFFF01000000}">
  <cacheSource type="worksheet">
    <worksheetSource ref="A21:N438" sheet="DAILY SALES PARKIR 2023" r:id="rId2"/>
  </cacheSource>
  <cacheFields count="10">
    <cacheField name="NAMA" numFmtId="0">
      <sharedItems/>
    </cacheField>
    <cacheField name="CORPORATE &amp; ACCOUNT HOLDER" numFmtId="0">
      <sharedItems count="9">
        <s v="WALK-IN"/>
        <s v="QRIS"/>
        <s v="DRAGON PASS"/>
        <s v="BJB"/>
        <s v="HSBC"/>
        <s v="OCBC"/>
        <s v="PRIOTIY PASS"/>
        <s v="VIETJET"/>
        <s v="VIPROOM"/>
      </sharedItems>
    </cacheField>
    <cacheField name="DATE" numFmtId="167">
      <sharedItems containsSemiMixedTypes="0" containsNonDate="0" containsDate="1" containsString="0" minDate="2023-05-11T00:00:00" maxDate="2023-09-11T00:00:00"/>
    </cacheField>
    <cacheField name="BULAN" numFmtId="41">
      <sharedItems count="5">
        <s v="MAY"/>
        <s v="JUNE"/>
        <s v="JULY"/>
        <s v="AUGUST"/>
        <s v="SEPTEMBER"/>
      </sharedItems>
    </cacheField>
    <cacheField name="QTY PAX" numFmtId="166">
      <sharedItems containsSemiMixedTypes="0" containsString="0" containsNumber="1" containsInteger="1" minValue="1" maxValue="225"/>
    </cacheField>
    <cacheField name="PRICE PAX" numFmtId="166">
      <sharedItems containsString="0" containsBlank="1" containsNumber="1" containsInteger="1" minValue="99000" maxValue="1000000"/>
    </cacheField>
    <cacheField name="FLIGHT NUMBER" numFmtId="0">
      <sharedItems containsNonDate="0" containsString="0" containsBlank="1"/>
    </cacheField>
    <cacheField name="ROUTE" numFmtId="0">
      <sharedItems containsNonDate="0" containsString="0" containsBlank="1"/>
    </cacheField>
    <cacheField name="TOTAL PAX" numFmtId="166">
      <sharedItems containsSemiMixedTypes="0" containsString="0" containsNumber="1" containsInteger="1" minValue="1" maxValue="225"/>
    </cacheField>
    <cacheField name="TOTAL PRICE" numFmtId="166">
      <sharedItems containsSemiMixedTypes="0" containsString="0" containsNumber="1" containsInteger="1" minValue="0" maxValue="222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phire" refreshedDate="45189.632615393515" createdVersion="8" refreshedVersion="8" minRefreshableVersion="3" recordCount="559" xr:uid="{00000000-000A-0000-FFFF-FFFF02000000}">
  <cacheSource type="worksheet">
    <worksheetSource ref="A21:N490" sheet="DAILY SALES PARKIR 2023" r:id="rId2"/>
  </cacheSource>
  <cacheFields count="12">
    <cacheField name="NAMA" numFmtId="0">
      <sharedItems/>
    </cacheField>
    <cacheField name="CORPORATE &amp; ACCOUNT HOLDER" numFmtId="0">
      <sharedItems count="9">
        <s v="WALK-IN"/>
        <s v="QRIS"/>
        <s v="DRAGON PASS"/>
        <s v="BJB"/>
        <s v="HSBC"/>
        <s v="OCBC"/>
        <s v="PRIOTIY PASS"/>
        <s v="VIETJET"/>
        <s v="VIPROOM"/>
      </sharedItems>
    </cacheField>
    <cacheField name="DATE" numFmtId="167">
      <sharedItems containsSemiMixedTypes="0" containsNonDate="0" containsDate="1" containsString="0" minDate="2023-05-11T00:00:00" maxDate="2023-09-19T00:00:00"/>
    </cacheField>
    <cacheField name="BULAN" numFmtId="41">
      <sharedItems count="5">
        <s v="MAY"/>
        <s v="JUNE"/>
        <s v="JULY"/>
        <s v="AUGUST"/>
        <s v="SEPTEMBER"/>
      </sharedItems>
    </cacheField>
    <cacheField name="QTY PAX" numFmtId="166">
      <sharedItems containsSemiMixedTypes="0" containsString="0" containsNumber="1" containsInteger="1" minValue="1" maxValue="225"/>
    </cacheField>
    <cacheField name="PRICE PAX" numFmtId="166">
      <sharedItems containsString="0" containsBlank="1" containsNumber="1" containsInteger="1" minValue="99000" maxValue="1000000"/>
    </cacheField>
    <cacheField name="FLIGHT NUMBER" numFmtId="0">
      <sharedItems containsNonDate="0" containsString="0" containsBlank="1"/>
    </cacheField>
    <cacheField name="ROUTE" numFmtId="0">
      <sharedItems containsNonDate="0" containsString="0" containsBlank="1"/>
    </cacheField>
    <cacheField name="TOTAL PAX" numFmtId="166">
      <sharedItems containsSemiMixedTypes="0" containsString="0" containsNumber="1" containsInteger="1" minValue="1" maxValue="225"/>
    </cacheField>
    <cacheField name="TOTAL PRICE" numFmtId="166">
      <sharedItems containsSemiMixedTypes="0" containsString="0" containsNumber="1" containsInteger="1" minValue="0" maxValue="22275000"/>
    </cacheField>
    <cacheField name="DESCRIPTION" numFmtId="0">
      <sharedItems containsNonDate="0" containsString="0" containsBlank="1"/>
    </cacheField>
    <cacheField name="ETD" numFmtId="167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phire" refreshedDate="45190.638091550929" createdVersion="8" refreshedVersion="8" minRefreshableVersion="3" recordCount="573" xr:uid="{00000000-000A-0000-FFFF-FFFF03000000}">
  <cacheSource type="worksheet">
    <worksheetSource ref="A21:N504" sheet="DAILY SALES PARKIR 2023" r:id="rId2"/>
  </cacheSource>
  <cacheFields count="10">
    <cacheField name="NAMA" numFmtId="0">
      <sharedItems/>
    </cacheField>
    <cacheField name="CORPORATE &amp; ACCOUNT HOLDER" numFmtId="0">
      <sharedItems count="9">
        <s v="WALK-IN"/>
        <s v="QRIS"/>
        <s v="DRAGON PASS"/>
        <s v="BJB"/>
        <s v="HSBC"/>
        <s v="OCBC"/>
        <s v="PRIOTIY PASS"/>
        <s v="VIETJET"/>
        <s v="VIPROOM"/>
      </sharedItems>
    </cacheField>
    <cacheField name="DATE" numFmtId="167">
      <sharedItems containsSemiMixedTypes="0" containsNonDate="0" containsDate="1" containsString="0" minDate="2023-05-11T00:00:00" maxDate="2023-09-21T00:00:00"/>
    </cacheField>
    <cacheField name="BULAN" numFmtId="41">
      <sharedItems count="5">
        <s v="MAY"/>
        <s v="JUNE"/>
        <s v="JULY"/>
        <s v="AUGUST"/>
        <s v="SEPTEMBER"/>
      </sharedItems>
    </cacheField>
    <cacheField name="QTY PAX" numFmtId="166">
      <sharedItems containsSemiMixedTypes="0" containsString="0" containsNumber="1" containsInteger="1" minValue="1" maxValue="225"/>
    </cacheField>
    <cacheField name="PRICE PAX" numFmtId="166">
      <sharedItems containsString="0" containsBlank="1" containsNumber="1" containsInteger="1" minValue="99000" maxValue="1000000"/>
    </cacheField>
    <cacheField name="FLIGHT NUMBER" numFmtId="0">
      <sharedItems containsNonDate="0" containsString="0" containsBlank="1"/>
    </cacheField>
    <cacheField name="ROUTE" numFmtId="0">
      <sharedItems containsNonDate="0" containsString="0" containsBlank="1"/>
    </cacheField>
    <cacheField name="TOTAL PAX" numFmtId="166">
      <sharedItems containsSemiMixedTypes="0" containsString="0" containsNumber="1" containsInteger="1" minValue="1" maxValue="225"/>
    </cacheField>
    <cacheField name="TOTAL PRICE" numFmtId="166">
      <sharedItems containsSemiMixedTypes="0" containsString="0" containsNumber="1" containsInteger="1" minValue="0" maxValue="222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s v="WALK IN"/>
    <x v="0"/>
    <x v="0"/>
    <x v="0"/>
    <n v="46"/>
    <n v="99000"/>
    <m/>
    <m/>
    <n v="46"/>
    <n v="4554000"/>
    <m/>
    <m/>
  </r>
  <r>
    <s v="WALK IN"/>
    <x v="1"/>
    <x v="0"/>
    <x v="0"/>
    <n v="1"/>
    <n v="99000"/>
    <m/>
    <m/>
    <n v="1"/>
    <n v="99000"/>
    <m/>
    <m/>
  </r>
  <r>
    <s v="WALK IN"/>
    <x v="0"/>
    <x v="1"/>
    <x v="0"/>
    <n v="171"/>
    <n v="99000"/>
    <m/>
    <m/>
    <n v="171"/>
    <n v="16929000"/>
    <m/>
    <m/>
  </r>
  <r>
    <s v="WALK IN"/>
    <x v="0"/>
    <x v="2"/>
    <x v="0"/>
    <n v="98"/>
    <n v="99000"/>
    <m/>
    <m/>
    <n v="98"/>
    <n v="9702000"/>
    <m/>
    <m/>
  </r>
  <r>
    <s v="WALK IN"/>
    <x v="1"/>
    <x v="2"/>
    <x v="0"/>
    <n v="4"/>
    <n v="99000"/>
    <m/>
    <m/>
    <n v="4"/>
    <n v="396000"/>
    <m/>
    <m/>
  </r>
  <r>
    <s v="WALK IN"/>
    <x v="0"/>
    <x v="3"/>
    <x v="0"/>
    <n v="121"/>
    <n v="99000"/>
    <m/>
    <m/>
    <n v="121"/>
    <n v="11979000"/>
    <m/>
    <m/>
  </r>
  <r>
    <s v="WALK IN"/>
    <x v="1"/>
    <x v="3"/>
    <x v="0"/>
    <n v="12"/>
    <n v="99000"/>
    <m/>
    <m/>
    <n v="12"/>
    <n v="1188000"/>
    <m/>
    <m/>
  </r>
  <r>
    <s v="WALK IN"/>
    <x v="0"/>
    <x v="4"/>
    <x v="0"/>
    <n v="65"/>
    <n v="99000"/>
    <m/>
    <m/>
    <n v="65"/>
    <n v="6435000"/>
    <m/>
    <m/>
  </r>
  <r>
    <s v="WALK IN"/>
    <x v="1"/>
    <x v="4"/>
    <x v="0"/>
    <n v="32"/>
    <n v="99000"/>
    <m/>
    <m/>
    <n v="32"/>
    <n v="3168000"/>
    <m/>
    <m/>
  </r>
  <r>
    <s v="WALK IN"/>
    <x v="0"/>
    <x v="5"/>
    <x v="0"/>
    <n v="81"/>
    <n v="99000"/>
    <m/>
    <m/>
    <n v="81"/>
    <n v="8019000"/>
    <m/>
    <m/>
  </r>
  <r>
    <s v="WALK IN"/>
    <x v="1"/>
    <x v="5"/>
    <x v="0"/>
    <n v="10"/>
    <n v="99000"/>
    <m/>
    <m/>
    <n v="10"/>
    <n v="990000"/>
    <m/>
    <m/>
  </r>
  <r>
    <s v="WALK IN"/>
    <x v="0"/>
    <x v="6"/>
    <x v="0"/>
    <n v="136"/>
    <n v="99000"/>
    <m/>
    <m/>
    <n v="136"/>
    <n v="13464000"/>
    <m/>
    <m/>
  </r>
  <r>
    <s v="WALK IN"/>
    <x v="1"/>
    <x v="6"/>
    <x v="0"/>
    <n v="28"/>
    <n v="99000"/>
    <m/>
    <m/>
    <n v="28"/>
    <n v="2772000"/>
    <m/>
    <m/>
  </r>
  <r>
    <s v="WALK IN"/>
    <x v="0"/>
    <x v="7"/>
    <x v="0"/>
    <n v="133"/>
    <n v="99000"/>
    <m/>
    <m/>
    <n v="133"/>
    <n v="13167000"/>
    <m/>
    <m/>
  </r>
  <r>
    <s v="WALK IN"/>
    <x v="1"/>
    <x v="7"/>
    <x v="0"/>
    <n v="34"/>
    <n v="99000"/>
    <m/>
    <m/>
    <n v="34"/>
    <n v="3366000"/>
    <m/>
    <m/>
  </r>
  <r>
    <s v="WALK IN"/>
    <x v="0"/>
    <x v="8"/>
    <x v="0"/>
    <n v="125"/>
    <n v="99000"/>
    <m/>
    <m/>
    <n v="125"/>
    <n v="12375000"/>
    <m/>
    <m/>
  </r>
  <r>
    <s v="WALK IN"/>
    <x v="1"/>
    <x v="8"/>
    <x v="0"/>
    <n v="14"/>
    <n v="99000"/>
    <m/>
    <m/>
    <n v="14"/>
    <n v="1386000"/>
    <m/>
    <m/>
  </r>
  <r>
    <s v="WALK IN"/>
    <x v="0"/>
    <x v="9"/>
    <x v="0"/>
    <n v="86"/>
    <n v="99000"/>
    <m/>
    <m/>
    <n v="86"/>
    <n v="8514000"/>
    <m/>
    <m/>
  </r>
  <r>
    <s v="WALK IN"/>
    <x v="1"/>
    <x v="9"/>
    <x v="0"/>
    <n v="10"/>
    <n v="99000"/>
    <m/>
    <m/>
    <n v="10"/>
    <n v="990000"/>
    <m/>
    <m/>
  </r>
  <r>
    <s v="WALK IN"/>
    <x v="0"/>
    <x v="10"/>
    <x v="0"/>
    <n v="89"/>
    <n v="99000"/>
    <m/>
    <m/>
    <n v="89"/>
    <n v="8811000"/>
    <m/>
    <m/>
  </r>
  <r>
    <s v="WALK IN"/>
    <x v="1"/>
    <x v="10"/>
    <x v="0"/>
    <n v="17"/>
    <n v="99000"/>
    <m/>
    <m/>
    <n v="17"/>
    <n v="1683000"/>
    <m/>
    <m/>
  </r>
  <r>
    <s v="WALK IN"/>
    <x v="0"/>
    <x v="11"/>
    <x v="0"/>
    <n v="73"/>
    <n v="99000"/>
    <m/>
    <m/>
    <n v="73"/>
    <n v="7227000"/>
    <m/>
    <m/>
  </r>
  <r>
    <s v="WALK IN"/>
    <x v="1"/>
    <x v="11"/>
    <x v="0"/>
    <n v="14"/>
    <n v="99000"/>
    <m/>
    <m/>
    <n v="14"/>
    <n v="1386000"/>
    <m/>
    <m/>
  </r>
  <r>
    <s v="WALK IN"/>
    <x v="0"/>
    <x v="12"/>
    <x v="0"/>
    <n v="56"/>
    <n v="99000"/>
    <m/>
    <m/>
    <n v="56"/>
    <n v="5544000"/>
    <m/>
    <m/>
  </r>
  <r>
    <s v="WALK IN"/>
    <x v="1"/>
    <x v="12"/>
    <x v="0"/>
    <n v="14"/>
    <n v="99000"/>
    <m/>
    <m/>
    <n v="14"/>
    <n v="1386000"/>
    <m/>
    <m/>
  </r>
  <r>
    <s v="WALK IN"/>
    <x v="0"/>
    <x v="13"/>
    <x v="0"/>
    <n v="77"/>
    <n v="99000"/>
    <m/>
    <m/>
    <n v="77"/>
    <n v="7623000"/>
    <m/>
    <m/>
  </r>
  <r>
    <s v="WALK IN"/>
    <x v="1"/>
    <x v="13"/>
    <x v="0"/>
    <n v="7"/>
    <n v="99000"/>
    <m/>
    <m/>
    <n v="7"/>
    <n v="693000"/>
    <m/>
    <m/>
  </r>
  <r>
    <s v="WALK IN"/>
    <x v="0"/>
    <x v="14"/>
    <x v="0"/>
    <n v="127"/>
    <n v="99000"/>
    <m/>
    <m/>
    <n v="127"/>
    <n v="12573000"/>
    <m/>
    <m/>
  </r>
  <r>
    <s v="WALK IN"/>
    <x v="1"/>
    <x v="14"/>
    <x v="0"/>
    <n v="17"/>
    <n v="99000"/>
    <m/>
    <m/>
    <n v="17"/>
    <n v="1683000"/>
    <m/>
    <m/>
  </r>
  <r>
    <s v="WALK IN"/>
    <x v="0"/>
    <x v="15"/>
    <x v="0"/>
    <n v="158"/>
    <n v="99000"/>
    <m/>
    <m/>
    <n v="158"/>
    <n v="15642000"/>
    <m/>
    <m/>
  </r>
  <r>
    <s v="WALK IN"/>
    <x v="1"/>
    <x v="15"/>
    <x v="0"/>
    <n v="18"/>
    <n v="99000"/>
    <m/>
    <m/>
    <n v="18"/>
    <n v="1782000"/>
    <m/>
    <m/>
  </r>
  <r>
    <s v="WALK IN"/>
    <x v="0"/>
    <x v="16"/>
    <x v="0"/>
    <n v="94"/>
    <n v="99000"/>
    <m/>
    <m/>
    <n v="94"/>
    <n v="9306000"/>
    <m/>
    <m/>
  </r>
  <r>
    <s v="WALK IN"/>
    <x v="1"/>
    <x v="16"/>
    <x v="0"/>
    <n v="5"/>
    <n v="99000"/>
    <m/>
    <m/>
    <n v="5"/>
    <n v="495000"/>
    <m/>
    <m/>
  </r>
  <r>
    <s v="WALK IN"/>
    <x v="0"/>
    <x v="17"/>
    <x v="0"/>
    <n v="104"/>
    <n v="99000"/>
    <m/>
    <m/>
    <n v="104"/>
    <n v="10296000"/>
    <m/>
    <m/>
  </r>
  <r>
    <s v="WALK IN"/>
    <x v="1"/>
    <x v="17"/>
    <x v="0"/>
    <n v="6"/>
    <n v="99000"/>
    <m/>
    <m/>
    <n v="6"/>
    <n v="594000"/>
    <m/>
    <m/>
  </r>
  <r>
    <s v="WALK IN"/>
    <x v="0"/>
    <x v="18"/>
    <x v="0"/>
    <n v="77"/>
    <n v="99000"/>
    <m/>
    <m/>
    <n v="77"/>
    <n v="7623000"/>
    <m/>
    <m/>
  </r>
  <r>
    <s v="WALK IN"/>
    <x v="1"/>
    <x v="18"/>
    <x v="0"/>
    <n v="32"/>
    <n v="99000"/>
    <m/>
    <m/>
    <n v="32"/>
    <n v="3168000"/>
    <m/>
    <m/>
  </r>
  <r>
    <s v="WALK IN"/>
    <x v="0"/>
    <x v="19"/>
    <x v="0"/>
    <n v="81"/>
    <n v="99000"/>
    <m/>
    <m/>
    <n v="81"/>
    <n v="8019000"/>
    <m/>
    <m/>
  </r>
  <r>
    <s v="WALK IN"/>
    <x v="1"/>
    <x v="19"/>
    <x v="0"/>
    <n v="32"/>
    <n v="99000"/>
    <m/>
    <m/>
    <n v="32"/>
    <n v="3168000"/>
    <m/>
    <m/>
  </r>
  <r>
    <s v="WALK IN"/>
    <x v="0"/>
    <x v="20"/>
    <x v="0"/>
    <n v="126"/>
    <n v="99000"/>
    <m/>
    <m/>
    <n v="126"/>
    <n v="12474000"/>
    <m/>
    <m/>
  </r>
  <r>
    <s v="WALK IN"/>
    <x v="1"/>
    <x v="20"/>
    <x v="0"/>
    <n v="16"/>
    <n v="99000"/>
    <m/>
    <m/>
    <n v="16"/>
    <n v="1584000"/>
    <m/>
    <m/>
  </r>
  <r>
    <s v="WALK IN"/>
    <x v="0"/>
    <x v="21"/>
    <x v="1"/>
    <n v="153"/>
    <n v="99000"/>
    <m/>
    <m/>
    <n v="153"/>
    <n v="15147000"/>
    <m/>
    <m/>
  </r>
  <r>
    <s v="WALK IN"/>
    <x v="1"/>
    <x v="21"/>
    <x v="1"/>
    <n v="17"/>
    <n v="99000"/>
    <m/>
    <m/>
    <n v="17"/>
    <n v="1683000"/>
    <m/>
    <m/>
  </r>
  <r>
    <s v="WALK IN"/>
    <x v="0"/>
    <x v="22"/>
    <x v="1"/>
    <n v="87"/>
    <n v="99000"/>
    <m/>
    <m/>
    <n v="87"/>
    <n v="8613000"/>
    <m/>
    <m/>
  </r>
  <r>
    <s v="WALK IN"/>
    <x v="1"/>
    <x v="22"/>
    <x v="1"/>
    <n v="15"/>
    <n v="99000"/>
    <m/>
    <m/>
    <n v="15"/>
    <n v="1485000"/>
    <m/>
    <m/>
  </r>
  <r>
    <s v="KERJASAMA MITRA"/>
    <x v="2"/>
    <x v="22"/>
    <x v="1"/>
    <n v="1"/>
    <n v="150000"/>
    <m/>
    <m/>
    <n v="1"/>
    <n v="150000"/>
    <m/>
    <m/>
  </r>
  <r>
    <s v="WALK IN"/>
    <x v="0"/>
    <x v="23"/>
    <x v="1"/>
    <n v="65"/>
    <n v="99000"/>
    <m/>
    <m/>
    <n v="65"/>
    <n v="6435000"/>
    <m/>
    <m/>
  </r>
  <r>
    <s v="WALK IN"/>
    <x v="1"/>
    <x v="23"/>
    <x v="1"/>
    <n v="2"/>
    <n v="99000"/>
    <m/>
    <m/>
    <n v="2"/>
    <n v="198000"/>
    <m/>
    <m/>
  </r>
  <r>
    <s v="KERJASAMA MITRA"/>
    <x v="2"/>
    <x v="23"/>
    <x v="1"/>
    <n v="1"/>
    <n v="150000"/>
    <m/>
    <m/>
    <n v="1"/>
    <n v="150000"/>
    <m/>
    <m/>
  </r>
  <r>
    <s v="WALK IN"/>
    <x v="0"/>
    <x v="24"/>
    <x v="1"/>
    <n v="115"/>
    <n v="99000"/>
    <m/>
    <m/>
    <n v="115"/>
    <n v="11385000"/>
    <m/>
    <m/>
  </r>
  <r>
    <s v="KERJASAMA MITRA"/>
    <x v="2"/>
    <x v="24"/>
    <x v="1"/>
    <n v="1"/>
    <n v="150000"/>
    <m/>
    <m/>
    <n v="1"/>
    <n v="150000"/>
    <m/>
    <m/>
  </r>
  <r>
    <s v="WALK IN"/>
    <x v="0"/>
    <x v="25"/>
    <x v="1"/>
    <n v="140"/>
    <n v="99000"/>
    <m/>
    <m/>
    <n v="140"/>
    <n v="13860000"/>
    <m/>
    <m/>
  </r>
  <r>
    <s v="WALK IN"/>
    <x v="1"/>
    <x v="25"/>
    <x v="1"/>
    <n v="15"/>
    <n v="99000"/>
    <m/>
    <m/>
    <n v="15"/>
    <n v="1485000"/>
    <m/>
    <m/>
  </r>
  <r>
    <s v="KERJASAMA MITRA"/>
    <x v="2"/>
    <x v="25"/>
    <x v="1"/>
    <n v="1"/>
    <n v="150000"/>
    <m/>
    <m/>
    <n v="1"/>
    <n v="150000"/>
    <m/>
    <m/>
  </r>
  <r>
    <s v="WALK IN"/>
    <x v="0"/>
    <x v="26"/>
    <x v="1"/>
    <n v="100"/>
    <n v="99000"/>
    <m/>
    <m/>
    <n v="100"/>
    <n v="9900000"/>
    <m/>
    <m/>
  </r>
  <r>
    <s v="WALK IN"/>
    <x v="1"/>
    <x v="26"/>
    <x v="1"/>
    <n v="5"/>
    <n v="99000"/>
    <m/>
    <m/>
    <n v="5"/>
    <n v="495000"/>
    <m/>
    <m/>
  </r>
  <r>
    <s v="WALK IN"/>
    <x v="0"/>
    <x v="27"/>
    <x v="1"/>
    <n v="122"/>
    <n v="99000"/>
    <m/>
    <m/>
    <n v="122"/>
    <n v="12078000"/>
    <m/>
    <m/>
  </r>
  <r>
    <s v="WALK IN"/>
    <x v="1"/>
    <x v="27"/>
    <x v="1"/>
    <n v="11"/>
    <n v="99000"/>
    <m/>
    <m/>
    <n v="11"/>
    <n v="1089000"/>
    <m/>
    <m/>
  </r>
  <r>
    <s v="WALK IN"/>
    <x v="0"/>
    <x v="28"/>
    <x v="1"/>
    <n v="89"/>
    <n v="99000"/>
    <m/>
    <m/>
    <n v="89"/>
    <n v="8811000"/>
    <m/>
    <m/>
  </r>
  <r>
    <s v="WALK IN"/>
    <x v="1"/>
    <x v="28"/>
    <x v="1"/>
    <n v="26"/>
    <n v="99000"/>
    <m/>
    <m/>
    <n v="26"/>
    <n v="2574000"/>
    <m/>
    <m/>
  </r>
  <r>
    <s v="KERJASAMA MITRA"/>
    <x v="2"/>
    <x v="28"/>
    <x v="1"/>
    <n v="2"/>
    <n v="150000"/>
    <m/>
    <m/>
    <n v="2"/>
    <n v="300000"/>
    <m/>
    <m/>
  </r>
  <r>
    <s v="WALK IN"/>
    <x v="0"/>
    <x v="29"/>
    <x v="1"/>
    <n v="118"/>
    <n v="99000"/>
    <m/>
    <m/>
    <n v="118"/>
    <n v="11682000"/>
    <m/>
    <m/>
  </r>
  <r>
    <s v="WALK IN"/>
    <x v="1"/>
    <x v="29"/>
    <x v="1"/>
    <n v="13"/>
    <n v="99000"/>
    <m/>
    <m/>
    <n v="13"/>
    <n v="1287000"/>
    <m/>
    <m/>
  </r>
  <r>
    <s v="KERJASAMA MITRA"/>
    <x v="2"/>
    <x v="29"/>
    <x v="1"/>
    <n v="2"/>
    <n v="150000"/>
    <m/>
    <m/>
    <n v="2"/>
    <n v="300000"/>
    <m/>
    <m/>
  </r>
  <r>
    <s v="WALK IN"/>
    <x v="0"/>
    <x v="30"/>
    <x v="1"/>
    <n v="104"/>
    <n v="99000"/>
    <m/>
    <m/>
    <n v="104"/>
    <n v="10296000"/>
    <m/>
    <m/>
  </r>
  <r>
    <s v="WALK IN"/>
    <x v="1"/>
    <x v="30"/>
    <x v="1"/>
    <n v="34"/>
    <n v="99000"/>
    <m/>
    <m/>
    <n v="34"/>
    <n v="3366000"/>
    <m/>
    <m/>
  </r>
  <r>
    <s v="KERJASAMA MITRA"/>
    <x v="2"/>
    <x v="30"/>
    <x v="1"/>
    <n v="1"/>
    <n v="150000"/>
    <m/>
    <m/>
    <n v="1"/>
    <n v="150000"/>
    <m/>
    <m/>
  </r>
  <r>
    <s v="WALK IN"/>
    <x v="0"/>
    <x v="31"/>
    <x v="1"/>
    <n v="93"/>
    <n v="99000"/>
    <m/>
    <m/>
    <n v="93"/>
    <n v="9207000"/>
    <m/>
    <m/>
  </r>
  <r>
    <s v="WALK IN"/>
    <x v="1"/>
    <x v="31"/>
    <x v="1"/>
    <n v="20"/>
    <n v="99000"/>
    <m/>
    <m/>
    <n v="20"/>
    <n v="1980000"/>
    <m/>
    <m/>
  </r>
  <r>
    <s v="KERJASAMA MITRA"/>
    <x v="2"/>
    <x v="31"/>
    <x v="1"/>
    <n v="2"/>
    <n v="150000"/>
    <m/>
    <m/>
    <n v="2"/>
    <n v="300000"/>
    <m/>
    <m/>
  </r>
  <r>
    <s v="WALK IN"/>
    <x v="0"/>
    <x v="32"/>
    <x v="1"/>
    <n v="114"/>
    <n v="99000"/>
    <m/>
    <m/>
    <n v="114"/>
    <n v="11286000"/>
    <m/>
    <m/>
  </r>
  <r>
    <s v="WALK IN"/>
    <x v="1"/>
    <x v="32"/>
    <x v="1"/>
    <n v="10"/>
    <n v="99000"/>
    <m/>
    <m/>
    <n v="10"/>
    <n v="990000"/>
    <m/>
    <m/>
  </r>
  <r>
    <s v="KERJASAMA MITRA"/>
    <x v="2"/>
    <x v="32"/>
    <x v="1"/>
    <n v="3"/>
    <n v="150000"/>
    <m/>
    <m/>
    <n v="3"/>
    <n v="450000"/>
    <m/>
    <m/>
  </r>
  <r>
    <s v="WALK IN"/>
    <x v="0"/>
    <x v="33"/>
    <x v="1"/>
    <n v="92"/>
    <n v="99000"/>
    <m/>
    <m/>
    <n v="92"/>
    <n v="9108000"/>
    <m/>
    <m/>
  </r>
  <r>
    <s v="WALK IN"/>
    <x v="1"/>
    <x v="33"/>
    <x v="1"/>
    <n v="15"/>
    <n v="99000"/>
    <m/>
    <m/>
    <n v="15"/>
    <n v="1485000"/>
    <m/>
    <m/>
  </r>
  <r>
    <s v="KERJASAMA MITRA"/>
    <x v="2"/>
    <x v="33"/>
    <x v="1"/>
    <n v="3"/>
    <n v="150000"/>
    <m/>
    <m/>
    <n v="3"/>
    <n v="450000"/>
    <m/>
    <m/>
  </r>
  <r>
    <s v="WALK IN"/>
    <x v="0"/>
    <x v="34"/>
    <x v="1"/>
    <n v="142"/>
    <n v="99000"/>
    <m/>
    <m/>
    <n v="142"/>
    <n v="14058000"/>
    <m/>
    <m/>
  </r>
  <r>
    <s v="WALK IN"/>
    <x v="1"/>
    <x v="34"/>
    <x v="1"/>
    <n v="8"/>
    <n v="99000"/>
    <m/>
    <m/>
    <n v="8"/>
    <n v="792000"/>
    <m/>
    <m/>
  </r>
  <r>
    <s v="KERJASAMA MITRA"/>
    <x v="2"/>
    <x v="34"/>
    <x v="1"/>
    <n v="4"/>
    <n v="150000"/>
    <m/>
    <m/>
    <n v="4"/>
    <n v="600000"/>
    <m/>
    <m/>
  </r>
  <r>
    <s v="WALK IN"/>
    <x v="0"/>
    <x v="35"/>
    <x v="1"/>
    <n v="135"/>
    <n v="99000"/>
    <m/>
    <m/>
    <n v="135"/>
    <n v="13365000"/>
    <m/>
    <m/>
  </r>
  <r>
    <s v="WALK IN"/>
    <x v="1"/>
    <x v="35"/>
    <x v="1"/>
    <n v="39"/>
    <n v="99000"/>
    <m/>
    <m/>
    <n v="39"/>
    <n v="3861000"/>
    <m/>
    <m/>
  </r>
  <r>
    <s v="KERJASAMA MITRA"/>
    <x v="2"/>
    <x v="35"/>
    <x v="1"/>
    <n v="2"/>
    <n v="150000"/>
    <m/>
    <m/>
    <n v="2"/>
    <n v="300000"/>
    <m/>
    <m/>
  </r>
  <r>
    <s v="WALK IN"/>
    <x v="0"/>
    <x v="36"/>
    <x v="1"/>
    <n v="171"/>
    <n v="99000"/>
    <m/>
    <m/>
    <n v="171"/>
    <n v="16929000"/>
    <m/>
    <m/>
  </r>
  <r>
    <s v="WALK IN"/>
    <x v="1"/>
    <x v="36"/>
    <x v="1"/>
    <n v="31"/>
    <n v="99000"/>
    <m/>
    <m/>
    <n v="31"/>
    <n v="3069000"/>
    <m/>
    <m/>
  </r>
  <r>
    <s v="KERJASAMA MITRA"/>
    <x v="2"/>
    <x v="36"/>
    <x v="1"/>
    <n v="1"/>
    <n v="150000"/>
    <m/>
    <m/>
    <n v="1"/>
    <n v="150000"/>
    <m/>
    <m/>
  </r>
  <r>
    <s v="WALK IN"/>
    <x v="0"/>
    <x v="37"/>
    <x v="1"/>
    <n v="126"/>
    <n v="99000"/>
    <m/>
    <m/>
    <n v="126"/>
    <n v="12474000"/>
    <m/>
    <m/>
  </r>
  <r>
    <s v="WALK IN"/>
    <x v="1"/>
    <x v="37"/>
    <x v="1"/>
    <n v="9"/>
    <n v="99000"/>
    <m/>
    <m/>
    <n v="9"/>
    <n v="891000"/>
    <m/>
    <m/>
  </r>
  <r>
    <s v="KERJASAMA MITRA"/>
    <x v="2"/>
    <x v="37"/>
    <x v="1"/>
    <n v="1"/>
    <n v="150000"/>
    <m/>
    <m/>
    <n v="1"/>
    <n v="150000"/>
    <m/>
    <m/>
  </r>
  <r>
    <s v="WALK IN"/>
    <x v="0"/>
    <x v="38"/>
    <x v="1"/>
    <n v="119"/>
    <n v="99000"/>
    <m/>
    <m/>
    <n v="119"/>
    <n v="11781000"/>
    <m/>
    <m/>
  </r>
  <r>
    <s v="WALK IN"/>
    <x v="1"/>
    <x v="38"/>
    <x v="1"/>
    <n v="30"/>
    <n v="99000"/>
    <m/>
    <m/>
    <n v="30"/>
    <n v="2970000"/>
    <m/>
    <m/>
  </r>
  <r>
    <s v="WALK IN"/>
    <x v="0"/>
    <x v="39"/>
    <x v="1"/>
    <n v="73"/>
    <n v="99000"/>
    <m/>
    <m/>
    <n v="73"/>
    <n v="7227000"/>
    <m/>
    <m/>
  </r>
  <r>
    <s v="WALK IN"/>
    <x v="1"/>
    <x v="39"/>
    <x v="1"/>
    <n v="29"/>
    <n v="99000"/>
    <m/>
    <m/>
    <n v="29"/>
    <n v="2871000"/>
    <m/>
    <m/>
  </r>
  <r>
    <s v="KERJASAMA MITRA"/>
    <x v="2"/>
    <x v="39"/>
    <x v="1"/>
    <n v="1"/>
    <n v="150000"/>
    <m/>
    <m/>
    <n v="1"/>
    <n v="150000"/>
    <m/>
    <m/>
  </r>
  <r>
    <s v="WALK IN"/>
    <x v="0"/>
    <x v="40"/>
    <x v="1"/>
    <n v="87"/>
    <n v="99000"/>
    <m/>
    <m/>
    <n v="87"/>
    <n v="8613000"/>
    <m/>
    <m/>
  </r>
  <r>
    <s v="WALK IN"/>
    <x v="1"/>
    <x v="40"/>
    <x v="1"/>
    <n v="52"/>
    <n v="99000"/>
    <m/>
    <m/>
    <n v="52"/>
    <n v="5148000"/>
    <m/>
    <m/>
  </r>
  <r>
    <s v="KERJASAMA MITRA"/>
    <x v="2"/>
    <x v="40"/>
    <x v="1"/>
    <n v="1"/>
    <n v="150000"/>
    <m/>
    <m/>
    <n v="1"/>
    <n v="150000"/>
    <m/>
    <m/>
  </r>
  <r>
    <s v="WALK IN"/>
    <x v="0"/>
    <x v="41"/>
    <x v="1"/>
    <n v="164"/>
    <n v="99000"/>
    <m/>
    <m/>
    <n v="164"/>
    <n v="16236000"/>
    <m/>
    <m/>
  </r>
  <r>
    <s v="WALK IN"/>
    <x v="1"/>
    <x v="41"/>
    <x v="1"/>
    <n v="42"/>
    <n v="99000"/>
    <m/>
    <m/>
    <n v="42"/>
    <n v="4158000"/>
    <m/>
    <m/>
  </r>
  <r>
    <s v="WALK IN"/>
    <x v="0"/>
    <x v="42"/>
    <x v="1"/>
    <n v="120"/>
    <n v="99000"/>
    <m/>
    <m/>
    <n v="120"/>
    <n v="11880000"/>
    <m/>
    <m/>
  </r>
  <r>
    <s v="WALK IN"/>
    <x v="1"/>
    <x v="42"/>
    <x v="1"/>
    <n v="34"/>
    <n v="99000"/>
    <m/>
    <m/>
    <n v="34"/>
    <n v="3366000"/>
    <m/>
    <m/>
  </r>
  <r>
    <s v="KERJASAMA MITRA"/>
    <x v="2"/>
    <x v="42"/>
    <x v="1"/>
    <n v="3"/>
    <n v="150000"/>
    <m/>
    <m/>
    <n v="3"/>
    <n v="450000"/>
    <m/>
    <m/>
  </r>
  <r>
    <s v="WALK IN"/>
    <x v="0"/>
    <x v="43"/>
    <x v="1"/>
    <n v="142"/>
    <n v="99000"/>
    <m/>
    <m/>
    <n v="142"/>
    <n v="14058000"/>
    <m/>
    <m/>
  </r>
  <r>
    <s v="WALK IN"/>
    <x v="1"/>
    <x v="43"/>
    <x v="1"/>
    <n v="37"/>
    <n v="99000"/>
    <m/>
    <m/>
    <n v="37"/>
    <n v="3663000"/>
    <m/>
    <m/>
  </r>
  <r>
    <s v="KERJASAMA MITRA"/>
    <x v="2"/>
    <x v="43"/>
    <x v="1"/>
    <n v="7"/>
    <n v="150000"/>
    <m/>
    <m/>
    <n v="7"/>
    <n v="1050000"/>
    <m/>
    <m/>
  </r>
  <r>
    <s v="WALK IN"/>
    <x v="0"/>
    <x v="44"/>
    <x v="1"/>
    <n v="145"/>
    <n v="99000"/>
    <m/>
    <m/>
    <n v="145"/>
    <n v="14355000"/>
    <m/>
    <m/>
  </r>
  <r>
    <s v="WALK IN"/>
    <x v="1"/>
    <x v="44"/>
    <x v="1"/>
    <n v="12"/>
    <n v="99000"/>
    <m/>
    <m/>
    <n v="12"/>
    <n v="1188000"/>
    <m/>
    <m/>
  </r>
  <r>
    <s v="KERJASAMA MITRA"/>
    <x v="2"/>
    <x v="44"/>
    <x v="1"/>
    <n v="1"/>
    <n v="150000"/>
    <m/>
    <m/>
    <n v="1"/>
    <n v="150000"/>
    <m/>
    <m/>
  </r>
  <r>
    <s v="WALK IN"/>
    <x v="0"/>
    <x v="45"/>
    <x v="1"/>
    <n v="114"/>
    <n v="99000"/>
    <m/>
    <m/>
    <n v="114"/>
    <n v="11286000"/>
    <m/>
    <m/>
  </r>
  <r>
    <s v="WALK IN"/>
    <x v="1"/>
    <x v="45"/>
    <x v="1"/>
    <n v="8"/>
    <n v="99000"/>
    <m/>
    <m/>
    <n v="8"/>
    <n v="792000"/>
    <m/>
    <m/>
  </r>
  <r>
    <s v="KERJASAMA MITRA"/>
    <x v="2"/>
    <x v="45"/>
    <x v="1"/>
    <n v="2"/>
    <n v="150000"/>
    <m/>
    <m/>
    <n v="2"/>
    <n v="300000"/>
    <m/>
    <m/>
  </r>
  <r>
    <s v="WALK IN"/>
    <x v="0"/>
    <x v="46"/>
    <x v="1"/>
    <n v="131"/>
    <n v="99000"/>
    <m/>
    <m/>
    <n v="131"/>
    <n v="12969000"/>
    <m/>
    <m/>
  </r>
  <r>
    <s v="WALK IN"/>
    <x v="1"/>
    <x v="46"/>
    <x v="1"/>
    <n v="10"/>
    <n v="99000"/>
    <m/>
    <m/>
    <n v="10"/>
    <n v="990000"/>
    <m/>
    <m/>
  </r>
  <r>
    <s v="KERJASAMA MITRA"/>
    <x v="2"/>
    <x v="46"/>
    <x v="1"/>
    <n v="6"/>
    <n v="150000"/>
    <m/>
    <m/>
    <n v="6"/>
    <n v="900000"/>
    <m/>
    <m/>
  </r>
  <r>
    <s v="WALK IN"/>
    <x v="0"/>
    <x v="47"/>
    <x v="1"/>
    <n v="101"/>
    <n v="99000"/>
    <m/>
    <m/>
    <n v="101"/>
    <n v="9999000"/>
    <m/>
    <m/>
  </r>
  <r>
    <s v="WALK IN"/>
    <x v="1"/>
    <x v="47"/>
    <x v="1"/>
    <n v="29"/>
    <n v="99000"/>
    <m/>
    <m/>
    <n v="29"/>
    <n v="2871000"/>
    <m/>
    <m/>
  </r>
  <r>
    <s v="WALK IN"/>
    <x v="0"/>
    <x v="48"/>
    <x v="1"/>
    <n v="166"/>
    <n v="99000"/>
    <m/>
    <m/>
    <n v="166"/>
    <n v="16434000"/>
    <m/>
    <m/>
  </r>
  <r>
    <s v="WALK IN"/>
    <x v="1"/>
    <x v="48"/>
    <x v="1"/>
    <n v="30"/>
    <n v="99000"/>
    <m/>
    <m/>
    <n v="30"/>
    <n v="2970000"/>
    <m/>
    <m/>
  </r>
  <r>
    <s v="KERJASAMA MITRA"/>
    <x v="2"/>
    <x v="48"/>
    <x v="1"/>
    <n v="1"/>
    <n v="150000"/>
    <m/>
    <m/>
    <n v="1"/>
    <n v="150000"/>
    <m/>
    <m/>
  </r>
  <r>
    <s v="WALK IN"/>
    <x v="0"/>
    <x v="49"/>
    <x v="1"/>
    <n v="225"/>
    <n v="99000"/>
    <m/>
    <m/>
    <n v="225"/>
    <n v="22275000"/>
    <m/>
    <m/>
  </r>
  <r>
    <s v="WALK IN"/>
    <x v="1"/>
    <x v="49"/>
    <x v="1"/>
    <n v="77"/>
    <n v="99000"/>
    <m/>
    <m/>
    <n v="77"/>
    <n v="7623000"/>
    <m/>
    <m/>
  </r>
  <r>
    <s v="WALK IN"/>
    <x v="0"/>
    <x v="50"/>
    <x v="1"/>
    <n v="108"/>
    <n v="99000"/>
    <m/>
    <m/>
    <n v="108"/>
    <n v="10692000"/>
    <m/>
    <m/>
  </r>
  <r>
    <s v="WALK IN"/>
    <x v="1"/>
    <x v="50"/>
    <x v="1"/>
    <n v="45"/>
    <n v="99000"/>
    <m/>
    <m/>
    <n v="45"/>
    <n v="4455000"/>
    <m/>
    <m/>
  </r>
  <r>
    <s v="KERJASAMA MITRA"/>
    <x v="2"/>
    <x v="50"/>
    <x v="1"/>
    <n v="1"/>
    <n v="150000"/>
    <m/>
    <m/>
    <n v="1"/>
    <n v="150000"/>
    <m/>
    <m/>
  </r>
  <r>
    <s v="WALK IN"/>
    <x v="0"/>
    <x v="51"/>
    <x v="2"/>
    <n v="132"/>
    <n v="99000"/>
    <m/>
    <m/>
    <n v="132"/>
    <n v="13068000"/>
    <m/>
    <m/>
  </r>
  <r>
    <s v="WALK IN"/>
    <x v="1"/>
    <x v="51"/>
    <x v="2"/>
    <n v="9"/>
    <n v="99000"/>
    <m/>
    <m/>
    <n v="9"/>
    <n v="891000"/>
    <m/>
    <m/>
  </r>
  <r>
    <s v="KERJASAMA MITRA"/>
    <x v="2"/>
    <x v="51"/>
    <x v="2"/>
    <n v="2"/>
    <n v="150000"/>
    <m/>
    <m/>
    <n v="2"/>
    <n v="300000"/>
    <m/>
    <m/>
  </r>
  <r>
    <s v="WALK IN"/>
    <x v="0"/>
    <x v="52"/>
    <x v="2"/>
    <n v="180"/>
    <n v="99000"/>
    <m/>
    <m/>
    <n v="180"/>
    <n v="17820000"/>
    <m/>
    <m/>
  </r>
  <r>
    <s v="WALK IN"/>
    <x v="1"/>
    <x v="52"/>
    <x v="2"/>
    <n v="23"/>
    <n v="99000"/>
    <m/>
    <m/>
    <n v="23"/>
    <n v="2277000"/>
    <m/>
    <m/>
  </r>
  <r>
    <s v="KERJASAMA MITRA"/>
    <x v="2"/>
    <x v="52"/>
    <x v="2"/>
    <n v="2"/>
    <n v="150000"/>
    <m/>
    <m/>
    <n v="2"/>
    <n v="300000"/>
    <m/>
    <m/>
  </r>
  <r>
    <s v="WALK IN"/>
    <x v="0"/>
    <x v="53"/>
    <x v="2"/>
    <n v="101"/>
    <n v="99000"/>
    <m/>
    <m/>
    <n v="101"/>
    <n v="9999000"/>
    <m/>
    <m/>
  </r>
  <r>
    <s v="WALK IN"/>
    <x v="1"/>
    <x v="53"/>
    <x v="2"/>
    <n v="7"/>
    <n v="99000"/>
    <m/>
    <m/>
    <n v="7"/>
    <n v="693000"/>
    <m/>
    <m/>
  </r>
  <r>
    <s v="WALK IN"/>
    <x v="0"/>
    <x v="54"/>
    <x v="2"/>
    <n v="80"/>
    <n v="99000"/>
    <m/>
    <m/>
    <n v="80"/>
    <n v="7920000"/>
    <m/>
    <m/>
  </r>
  <r>
    <s v="WALK IN"/>
    <x v="1"/>
    <x v="54"/>
    <x v="2"/>
    <n v="21"/>
    <n v="99000"/>
    <m/>
    <m/>
    <n v="21"/>
    <n v="2079000"/>
    <m/>
    <m/>
  </r>
  <r>
    <s v="WALK IN"/>
    <x v="0"/>
    <x v="55"/>
    <x v="2"/>
    <n v="101"/>
    <n v="99000"/>
    <m/>
    <m/>
    <n v="101"/>
    <n v="9999000"/>
    <m/>
    <m/>
  </r>
  <r>
    <s v="WALK IN"/>
    <x v="1"/>
    <x v="55"/>
    <x v="2"/>
    <n v="34"/>
    <n v="99000"/>
    <m/>
    <m/>
    <n v="34"/>
    <n v="3366000"/>
    <m/>
    <m/>
  </r>
  <r>
    <s v="KERJASAMA MITRA"/>
    <x v="2"/>
    <x v="55"/>
    <x v="2"/>
    <n v="1"/>
    <n v="150000"/>
    <m/>
    <m/>
    <n v="1"/>
    <n v="150000"/>
    <m/>
    <m/>
  </r>
  <r>
    <s v="WALK IN"/>
    <x v="0"/>
    <x v="56"/>
    <x v="2"/>
    <n v="78"/>
    <n v="120000"/>
    <m/>
    <m/>
    <n v="78"/>
    <n v="9360000"/>
    <m/>
    <m/>
  </r>
  <r>
    <s v="WALK IN"/>
    <x v="1"/>
    <x v="56"/>
    <x v="2"/>
    <n v="23"/>
    <n v="120000"/>
    <m/>
    <m/>
    <n v="23"/>
    <n v="2760000"/>
    <m/>
    <m/>
  </r>
  <r>
    <s v="KERJASAMA MITRA"/>
    <x v="2"/>
    <x v="56"/>
    <x v="2"/>
    <n v="5"/>
    <n v="150000"/>
    <m/>
    <m/>
    <n v="5"/>
    <n v="750000"/>
    <m/>
    <m/>
  </r>
  <r>
    <s v="WALK IN"/>
    <x v="0"/>
    <x v="57"/>
    <x v="2"/>
    <n v="112"/>
    <n v="120000"/>
    <m/>
    <m/>
    <n v="112"/>
    <n v="13440000"/>
    <m/>
    <m/>
  </r>
  <r>
    <s v="WALK IN"/>
    <x v="1"/>
    <x v="57"/>
    <x v="2"/>
    <n v="26"/>
    <n v="120000"/>
    <m/>
    <m/>
    <n v="26"/>
    <n v="3120000"/>
    <m/>
    <m/>
  </r>
  <r>
    <s v="KERJASAMA MITRA"/>
    <x v="2"/>
    <x v="57"/>
    <x v="2"/>
    <n v="3"/>
    <n v="150000"/>
    <m/>
    <m/>
    <n v="3"/>
    <n v="450000"/>
    <m/>
    <m/>
  </r>
  <r>
    <s v="WALK IN"/>
    <x v="0"/>
    <x v="58"/>
    <x v="2"/>
    <n v="102"/>
    <n v="120000"/>
    <m/>
    <m/>
    <n v="102"/>
    <n v="12240000"/>
    <m/>
    <m/>
  </r>
  <r>
    <s v="WALK IN"/>
    <x v="1"/>
    <x v="58"/>
    <x v="2"/>
    <n v="7"/>
    <n v="120000"/>
    <m/>
    <m/>
    <n v="7"/>
    <n v="840000"/>
    <m/>
    <m/>
  </r>
  <r>
    <s v="KERJASAMA MITRA"/>
    <x v="2"/>
    <x v="58"/>
    <x v="2"/>
    <n v="2"/>
    <n v="150000"/>
    <m/>
    <m/>
    <n v="2"/>
    <n v="300000"/>
    <m/>
    <m/>
  </r>
  <r>
    <s v="WALK IN"/>
    <x v="0"/>
    <x v="59"/>
    <x v="2"/>
    <n v="110"/>
    <n v="120000"/>
    <m/>
    <m/>
    <n v="110"/>
    <n v="13200000"/>
    <m/>
    <m/>
  </r>
  <r>
    <s v="WALK IN"/>
    <x v="1"/>
    <x v="59"/>
    <x v="2"/>
    <n v="29"/>
    <n v="120000"/>
    <m/>
    <m/>
    <n v="29"/>
    <n v="3480000"/>
    <m/>
    <m/>
  </r>
  <r>
    <s v="KERJASAMA MITRA"/>
    <x v="2"/>
    <x v="59"/>
    <x v="2"/>
    <n v="1"/>
    <n v="150000"/>
    <m/>
    <m/>
    <n v="1"/>
    <n v="150000"/>
    <m/>
    <m/>
  </r>
  <r>
    <s v="WALK IN"/>
    <x v="0"/>
    <x v="60"/>
    <x v="2"/>
    <n v="75"/>
    <n v="120000"/>
    <m/>
    <m/>
    <n v="75"/>
    <n v="9000000"/>
    <m/>
    <m/>
  </r>
  <r>
    <s v="WALK IN"/>
    <x v="1"/>
    <x v="60"/>
    <x v="2"/>
    <n v="24"/>
    <n v="120000"/>
    <m/>
    <m/>
    <n v="24"/>
    <n v="2880000"/>
    <m/>
    <m/>
  </r>
  <r>
    <s v="KERJASAMA MITRA"/>
    <x v="2"/>
    <x v="60"/>
    <x v="2"/>
    <n v="5"/>
    <n v="150000"/>
    <m/>
    <m/>
    <n v="5"/>
    <n v="750000"/>
    <m/>
    <m/>
  </r>
  <r>
    <s v="WALK IN"/>
    <x v="0"/>
    <x v="61"/>
    <x v="2"/>
    <n v="92"/>
    <n v="120000"/>
    <m/>
    <m/>
    <n v="92"/>
    <n v="11040000"/>
    <m/>
    <m/>
  </r>
  <r>
    <s v="WALK IN"/>
    <x v="1"/>
    <x v="61"/>
    <x v="2"/>
    <n v="12"/>
    <n v="120000"/>
    <m/>
    <m/>
    <n v="12"/>
    <n v="1440000"/>
    <m/>
    <m/>
  </r>
  <r>
    <s v="KERJASAMA MITRA"/>
    <x v="2"/>
    <x v="61"/>
    <x v="2"/>
    <n v="5"/>
    <n v="150000"/>
    <m/>
    <m/>
    <n v="5"/>
    <n v="750000"/>
    <m/>
    <m/>
  </r>
  <r>
    <s v="WALK IN"/>
    <x v="0"/>
    <x v="62"/>
    <x v="2"/>
    <n v="104"/>
    <n v="120000"/>
    <m/>
    <m/>
    <n v="104"/>
    <n v="12480000"/>
    <m/>
    <m/>
  </r>
  <r>
    <s v="WALK IN"/>
    <x v="1"/>
    <x v="62"/>
    <x v="2"/>
    <n v="17"/>
    <n v="120000"/>
    <m/>
    <m/>
    <n v="17"/>
    <n v="2040000"/>
    <m/>
    <m/>
  </r>
  <r>
    <s v="WALK IN"/>
    <x v="0"/>
    <x v="63"/>
    <x v="2"/>
    <n v="118"/>
    <n v="120000"/>
    <m/>
    <m/>
    <n v="118"/>
    <n v="14160000"/>
    <m/>
    <m/>
  </r>
  <r>
    <s v="WALK IN"/>
    <x v="1"/>
    <x v="63"/>
    <x v="2"/>
    <n v="20"/>
    <n v="120000"/>
    <m/>
    <m/>
    <n v="20"/>
    <n v="2400000"/>
    <m/>
    <m/>
  </r>
  <r>
    <s v="KERJASAMA MITRA"/>
    <x v="2"/>
    <x v="63"/>
    <x v="2"/>
    <n v="3"/>
    <n v="150000"/>
    <m/>
    <m/>
    <n v="3"/>
    <n v="450000"/>
    <m/>
    <m/>
  </r>
  <r>
    <s v="WALK IN"/>
    <x v="0"/>
    <x v="64"/>
    <x v="2"/>
    <n v="160"/>
    <n v="120000"/>
    <m/>
    <m/>
    <n v="160"/>
    <n v="19200000"/>
    <m/>
    <m/>
  </r>
  <r>
    <s v="WALK IN"/>
    <x v="1"/>
    <x v="64"/>
    <x v="2"/>
    <n v="12"/>
    <n v="120000"/>
    <m/>
    <m/>
    <n v="12"/>
    <n v="1440000"/>
    <m/>
    <m/>
  </r>
  <r>
    <s v="KERJASAMA MITRA"/>
    <x v="2"/>
    <x v="64"/>
    <x v="2"/>
    <n v="3"/>
    <n v="150000"/>
    <m/>
    <m/>
    <n v="3"/>
    <n v="450000"/>
    <m/>
    <m/>
  </r>
  <r>
    <s v="WALK IN"/>
    <x v="0"/>
    <x v="65"/>
    <x v="2"/>
    <n v="108"/>
    <n v="120000"/>
    <m/>
    <m/>
    <n v="108"/>
    <n v="12960000"/>
    <m/>
    <m/>
  </r>
  <r>
    <s v="WALK IN"/>
    <x v="1"/>
    <x v="65"/>
    <x v="2"/>
    <n v="2"/>
    <n v="120000"/>
    <m/>
    <m/>
    <n v="2"/>
    <n v="240000"/>
    <m/>
    <m/>
  </r>
  <r>
    <s v="WALK IN"/>
    <x v="0"/>
    <x v="66"/>
    <x v="2"/>
    <n v="101"/>
    <n v="120000"/>
    <m/>
    <m/>
    <n v="101"/>
    <n v="12120000"/>
    <m/>
    <m/>
  </r>
  <r>
    <s v="WALK IN"/>
    <x v="1"/>
    <x v="66"/>
    <x v="2"/>
    <n v="4"/>
    <n v="120000"/>
    <m/>
    <m/>
    <n v="4"/>
    <n v="480000"/>
    <m/>
    <m/>
  </r>
  <r>
    <s v="KERJASAMA MITRA"/>
    <x v="2"/>
    <x v="66"/>
    <x v="2"/>
    <n v="4"/>
    <n v="150000"/>
    <m/>
    <m/>
    <n v="4"/>
    <n v="600000"/>
    <m/>
    <m/>
  </r>
  <r>
    <s v="WALK IN"/>
    <x v="0"/>
    <x v="67"/>
    <x v="2"/>
    <n v="113"/>
    <n v="120000"/>
    <m/>
    <m/>
    <n v="113"/>
    <n v="13560000"/>
    <m/>
    <m/>
  </r>
  <r>
    <s v="WALK IN"/>
    <x v="1"/>
    <x v="67"/>
    <x v="2"/>
    <n v="15"/>
    <n v="120000"/>
    <m/>
    <m/>
    <n v="15"/>
    <n v="1800000"/>
    <m/>
    <m/>
  </r>
  <r>
    <s v="KERJASAMA MITRA"/>
    <x v="2"/>
    <x v="67"/>
    <x v="2"/>
    <n v="2"/>
    <n v="150000"/>
    <m/>
    <m/>
    <n v="2"/>
    <n v="300000"/>
    <m/>
    <m/>
  </r>
  <r>
    <s v="KERJASAMA MITRA"/>
    <x v="3"/>
    <x v="67"/>
    <x v="2"/>
    <n v="2"/>
    <n v="130000"/>
    <m/>
    <m/>
    <n v="2"/>
    <n v="260000"/>
    <m/>
    <m/>
  </r>
  <r>
    <s v="WALK IN"/>
    <x v="0"/>
    <x v="68"/>
    <x v="2"/>
    <n v="91"/>
    <n v="120000"/>
    <m/>
    <m/>
    <n v="91"/>
    <n v="10920000"/>
    <m/>
    <m/>
  </r>
  <r>
    <s v="WALK IN"/>
    <x v="1"/>
    <x v="68"/>
    <x v="2"/>
    <n v="10"/>
    <n v="120000"/>
    <m/>
    <m/>
    <n v="10"/>
    <n v="1200000"/>
    <m/>
    <m/>
  </r>
  <r>
    <s v="KERJASAMA MITRA"/>
    <x v="2"/>
    <x v="68"/>
    <x v="2"/>
    <n v="1"/>
    <n v="150000"/>
    <m/>
    <m/>
    <n v="1"/>
    <n v="150000"/>
    <m/>
    <m/>
  </r>
  <r>
    <s v="KERJASAMA MITRA"/>
    <x v="3"/>
    <x v="68"/>
    <x v="2"/>
    <n v="2"/>
    <n v="130000"/>
    <m/>
    <m/>
    <n v="2"/>
    <n v="260000"/>
    <m/>
    <m/>
  </r>
  <r>
    <s v="KERJASAMA MITRA"/>
    <x v="4"/>
    <x v="68"/>
    <x v="2"/>
    <n v="11"/>
    <n v="130000"/>
    <m/>
    <m/>
    <n v="11"/>
    <n v="1430000"/>
    <m/>
    <m/>
  </r>
  <r>
    <s v="WALK IN"/>
    <x v="0"/>
    <x v="69"/>
    <x v="2"/>
    <n v="153"/>
    <n v="120000"/>
    <m/>
    <m/>
    <n v="153"/>
    <n v="18360000"/>
    <m/>
    <m/>
  </r>
  <r>
    <s v="WALK IN"/>
    <x v="1"/>
    <x v="69"/>
    <x v="2"/>
    <n v="14"/>
    <n v="120000"/>
    <m/>
    <m/>
    <n v="14"/>
    <n v="1680000"/>
    <m/>
    <m/>
  </r>
  <r>
    <s v="KERJASAMA MITRA"/>
    <x v="2"/>
    <x v="69"/>
    <x v="2"/>
    <n v="7"/>
    <n v="150000"/>
    <m/>
    <m/>
    <n v="7"/>
    <n v="1050000"/>
    <m/>
    <m/>
  </r>
  <r>
    <s v="KERJASAMA MITRA"/>
    <x v="3"/>
    <x v="69"/>
    <x v="2"/>
    <n v="4"/>
    <n v="130000"/>
    <m/>
    <m/>
    <n v="4"/>
    <n v="520000"/>
    <m/>
    <m/>
  </r>
  <r>
    <s v="KERJASAMA MITRA"/>
    <x v="4"/>
    <x v="69"/>
    <x v="2"/>
    <n v="4"/>
    <n v="130000"/>
    <m/>
    <m/>
    <n v="4"/>
    <n v="520000"/>
    <m/>
    <m/>
  </r>
  <r>
    <s v="WALK IN"/>
    <x v="0"/>
    <x v="70"/>
    <x v="2"/>
    <n v="80"/>
    <n v="120000"/>
    <m/>
    <m/>
    <n v="80"/>
    <n v="9600000"/>
    <m/>
    <m/>
  </r>
  <r>
    <s v="WALK IN"/>
    <x v="1"/>
    <x v="70"/>
    <x v="2"/>
    <n v="12"/>
    <n v="120000"/>
    <m/>
    <m/>
    <n v="12"/>
    <n v="1440000"/>
    <m/>
    <m/>
  </r>
  <r>
    <s v="KERJASAMA MITRA"/>
    <x v="3"/>
    <x v="70"/>
    <x v="2"/>
    <n v="2"/>
    <n v="130000"/>
    <m/>
    <m/>
    <n v="2"/>
    <n v="260000"/>
    <m/>
    <m/>
  </r>
  <r>
    <s v="WALK IN"/>
    <x v="0"/>
    <x v="71"/>
    <x v="2"/>
    <n v="113"/>
    <n v="120000"/>
    <m/>
    <m/>
    <n v="113"/>
    <n v="13560000"/>
    <m/>
    <m/>
  </r>
  <r>
    <s v="WALK IN"/>
    <x v="1"/>
    <x v="71"/>
    <x v="2"/>
    <n v="13"/>
    <n v="120000"/>
    <m/>
    <m/>
    <n v="13"/>
    <n v="1560000"/>
    <m/>
    <m/>
  </r>
  <r>
    <s v="KERJASAMA MITRA"/>
    <x v="2"/>
    <x v="71"/>
    <x v="2"/>
    <n v="5"/>
    <n v="150000"/>
    <m/>
    <m/>
    <n v="5"/>
    <n v="750000"/>
    <m/>
    <m/>
  </r>
  <r>
    <s v="KERJASAMA MITRA"/>
    <x v="3"/>
    <x v="71"/>
    <x v="2"/>
    <n v="1"/>
    <n v="130000"/>
    <m/>
    <m/>
    <n v="1"/>
    <n v="130000"/>
    <m/>
    <m/>
  </r>
  <r>
    <s v="KERJASAMA MITRA"/>
    <x v="4"/>
    <x v="71"/>
    <x v="2"/>
    <n v="2"/>
    <n v="130000"/>
    <m/>
    <m/>
    <n v="2"/>
    <n v="260000"/>
    <m/>
    <m/>
  </r>
  <r>
    <s v="WALK IN"/>
    <x v="0"/>
    <x v="72"/>
    <x v="2"/>
    <n v="103"/>
    <n v="120000"/>
    <m/>
    <m/>
    <n v="103"/>
    <n v="12360000"/>
    <m/>
    <m/>
  </r>
  <r>
    <s v="WALK IN"/>
    <x v="1"/>
    <x v="72"/>
    <x v="2"/>
    <n v="8"/>
    <n v="120000"/>
    <m/>
    <m/>
    <n v="8"/>
    <n v="960000"/>
    <m/>
    <m/>
  </r>
  <r>
    <s v="KERJASAMA MITRA"/>
    <x v="2"/>
    <x v="72"/>
    <x v="2"/>
    <n v="3"/>
    <n v="150000"/>
    <m/>
    <m/>
    <n v="3"/>
    <n v="450000"/>
    <m/>
    <m/>
  </r>
  <r>
    <s v="KERJASAMA MITRA"/>
    <x v="3"/>
    <x v="72"/>
    <x v="2"/>
    <n v="4"/>
    <n v="130000"/>
    <m/>
    <m/>
    <n v="4"/>
    <n v="520000"/>
    <m/>
    <m/>
  </r>
  <r>
    <s v="KERJASAMA MITRA"/>
    <x v="4"/>
    <x v="72"/>
    <x v="2"/>
    <n v="5"/>
    <n v="130000"/>
    <m/>
    <m/>
    <n v="5"/>
    <n v="650000"/>
    <m/>
    <m/>
  </r>
  <r>
    <s v="WALK IN"/>
    <x v="0"/>
    <x v="73"/>
    <x v="2"/>
    <n v="88"/>
    <n v="120000"/>
    <m/>
    <m/>
    <n v="88"/>
    <n v="10560000"/>
    <m/>
    <m/>
  </r>
  <r>
    <s v="WALK IN"/>
    <x v="1"/>
    <x v="73"/>
    <x v="2"/>
    <n v="37"/>
    <n v="120000"/>
    <m/>
    <m/>
    <n v="37"/>
    <n v="4440000"/>
    <m/>
    <m/>
  </r>
  <r>
    <s v="KERJASAMA MITRA"/>
    <x v="2"/>
    <x v="73"/>
    <x v="2"/>
    <n v="1"/>
    <n v="150000"/>
    <m/>
    <m/>
    <n v="1"/>
    <n v="150000"/>
    <m/>
    <m/>
  </r>
  <r>
    <s v="KERJASAMA MITRA"/>
    <x v="3"/>
    <x v="73"/>
    <x v="2"/>
    <n v="3"/>
    <n v="130000"/>
    <m/>
    <m/>
    <n v="3"/>
    <n v="390000"/>
    <m/>
    <m/>
  </r>
  <r>
    <s v="KERJASAMA MITRA"/>
    <x v="4"/>
    <x v="73"/>
    <x v="2"/>
    <n v="5"/>
    <n v="130000"/>
    <m/>
    <m/>
    <n v="5"/>
    <n v="650000"/>
    <m/>
    <m/>
  </r>
  <r>
    <s v="WALK IN"/>
    <x v="0"/>
    <x v="74"/>
    <x v="2"/>
    <n v="114"/>
    <n v="120000"/>
    <m/>
    <m/>
    <n v="114"/>
    <n v="13680000"/>
    <m/>
    <m/>
  </r>
  <r>
    <s v="WALK IN"/>
    <x v="1"/>
    <x v="74"/>
    <x v="2"/>
    <n v="10"/>
    <n v="120000"/>
    <m/>
    <m/>
    <n v="10"/>
    <n v="1200000"/>
    <m/>
    <m/>
  </r>
  <r>
    <s v="KERJASAMA MITRA"/>
    <x v="2"/>
    <x v="74"/>
    <x v="2"/>
    <n v="2"/>
    <n v="150000"/>
    <m/>
    <m/>
    <n v="2"/>
    <n v="300000"/>
    <m/>
    <m/>
  </r>
  <r>
    <s v="KERJASAMA MITRA"/>
    <x v="4"/>
    <x v="74"/>
    <x v="2"/>
    <n v="3"/>
    <n v="130000"/>
    <m/>
    <m/>
    <n v="3"/>
    <n v="390000"/>
    <m/>
    <m/>
  </r>
  <r>
    <s v="WALK IN"/>
    <x v="0"/>
    <x v="75"/>
    <x v="2"/>
    <n v="79"/>
    <n v="120000"/>
    <m/>
    <m/>
    <n v="79"/>
    <n v="9480000"/>
    <m/>
    <m/>
  </r>
  <r>
    <s v="WALK IN"/>
    <x v="1"/>
    <x v="75"/>
    <x v="2"/>
    <n v="10"/>
    <n v="120000"/>
    <m/>
    <m/>
    <n v="10"/>
    <n v="1200000"/>
    <m/>
    <m/>
  </r>
  <r>
    <s v="KERJASAMA MITRA"/>
    <x v="2"/>
    <x v="75"/>
    <x v="2"/>
    <n v="1"/>
    <n v="150000"/>
    <m/>
    <m/>
    <n v="1"/>
    <n v="150000"/>
    <m/>
    <m/>
  </r>
  <r>
    <s v="KERJASAMA MITRA"/>
    <x v="3"/>
    <x v="75"/>
    <x v="2"/>
    <n v="4"/>
    <n v="130000"/>
    <m/>
    <m/>
    <n v="4"/>
    <n v="520000"/>
    <m/>
    <m/>
  </r>
  <r>
    <s v="KERJASAMA MITRA"/>
    <x v="4"/>
    <x v="75"/>
    <x v="2"/>
    <n v="14"/>
    <n v="130000"/>
    <m/>
    <m/>
    <n v="14"/>
    <n v="1820000"/>
    <m/>
    <m/>
  </r>
  <r>
    <s v="WALK IN"/>
    <x v="0"/>
    <x v="76"/>
    <x v="2"/>
    <n v="107"/>
    <n v="120000"/>
    <m/>
    <m/>
    <n v="107"/>
    <n v="12840000"/>
    <m/>
    <m/>
  </r>
  <r>
    <s v="WALK IN"/>
    <x v="1"/>
    <x v="76"/>
    <x v="2"/>
    <n v="14"/>
    <n v="120000"/>
    <m/>
    <m/>
    <n v="14"/>
    <n v="1680000"/>
    <m/>
    <m/>
  </r>
  <r>
    <s v="KERJASAMA MITRA"/>
    <x v="2"/>
    <x v="76"/>
    <x v="2"/>
    <n v="4"/>
    <n v="150000"/>
    <m/>
    <m/>
    <n v="4"/>
    <n v="600000"/>
    <m/>
    <m/>
  </r>
  <r>
    <s v="KERJASAMA MITRA"/>
    <x v="4"/>
    <x v="76"/>
    <x v="2"/>
    <n v="5"/>
    <n v="130000"/>
    <m/>
    <m/>
    <n v="5"/>
    <n v="650000"/>
    <m/>
    <m/>
  </r>
  <r>
    <s v="WALK IN"/>
    <x v="0"/>
    <x v="77"/>
    <x v="2"/>
    <n v="84"/>
    <n v="120000"/>
    <m/>
    <m/>
    <n v="84"/>
    <n v="10080000"/>
    <m/>
    <m/>
  </r>
  <r>
    <s v="WALK IN"/>
    <x v="1"/>
    <x v="77"/>
    <x v="2"/>
    <n v="23"/>
    <n v="120000"/>
    <m/>
    <m/>
    <n v="23"/>
    <n v="2760000"/>
    <m/>
    <m/>
  </r>
  <r>
    <s v="KERJASAMA MITRA"/>
    <x v="2"/>
    <x v="77"/>
    <x v="2"/>
    <n v="3"/>
    <n v="150000"/>
    <m/>
    <m/>
    <n v="3"/>
    <n v="450000"/>
    <m/>
    <m/>
  </r>
  <r>
    <s v="KERJASAMA MITRA"/>
    <x v="4"/>
    <x v="77"/>
    <x v="2"/>
    <n v="4"/>
    <n v="130000"/>
    <m/>
    <m/>
    <n v="4"/>
    <n v="520000"/>
    <m/>
    <m/>
  </r>
  <r>
    <s v="WALK IN"/>
    <x v="0"/>
    <x v="78"/>
    <x v="2"/>
    <n v="134"/>
    <n v="120000"/>
    <m/>
    <m/>
    <n v="134"/>
    <n v="16080000"/>
    <m/>
    <m/>
  </r>
  <r>
    <s v="WALK IN"/>
    <x v="1"/>
    <x v="78"/>
    <x v="2"/>
    <n v="12"/>
    <n v="120000"/>
    <m/>
    <m/>
    <n v="12"/>
    <n v="1440000"/>
    <m/>
    <m/>
  </r>
  <r>
    <s v="KERJASAMA MITRA"/>
    <x v="2"/>
    <x v="78"/>
    <x v="2"/>
    <n v="5"/>
    <n v="150000"/>
    <m/>
    <m/>
    <n v="5"/>
    <n v="750000"/>
    <m/>
    <m/>
  </r>
  <r>
    <s v="KERJASAMA MITRA"/>
    <x v="3"/>
    <x v="78"/>
    <x v="2"/>
    <n v="2"/>
    <n v="130000"/>
    <m/>
    <m/>
    <n v="2"/>
    <n v="260000"/>
    <m/>
    <m/>
  </r>
  <r>
    <s v="KERJASAMA MITRA"/>
    <x v="4"/>
    <x v="78"/>
    <x v="2"/>
    <n v="2"/>
    <n v="130000"/>
    <m/>
    <m/>
    <n v="2"/>
    <n v="260000"/>
    <m/>
    <m/>
  </r>
  <r>
    <s v="WALK IN"/>
    <x v="0"/>
    <x v="79"/>
    <x v="2"/>
    <n v="84"/>
    <n v="120000"/>
    <m/>
    <m/>
    <n v="84"/>
    <n v="10080000"/>
    <m/>
    <m/>
  </r>
  <r>
    <s v="WALK IN"/>
    <x v="1"/>
    <x v="79"/>
    <x v="2"/>
    <n v="29"/>
    <n v="120000"/>
    <m/>
    <m/>
    <n v="29"/>
    <n v="3480000"/>
    <m/>
    <m/>
  </r>
  <r>
    <s v="KERJASAMA MITRA"/>
    <x v="2"/>
    <x v="79"/>
    <x v="2"/>
    <n v="9"/>
    <n v="150000"/>
    <m/>
    <m/>
    <n v="9"/>
    <n v="1350000"/>
    <m/>
    <m/>
  </r>
  <r>
    <s v="KERJASAMA MITRA"/>
    <x v="4"/>
    <x v="79"/>
    <x v="2"/>
    <n v="1"/>
    <n v="130000"/>
    <m/>
    <m/>
    <n v="1"/>
    <n v="130000"/>
    <m/>
    <m/>
  </r>
  <r>
    <s v="WALK IN"/>
    <x v="0"/>
    <x v="80"/>
    <x v="2"/>
    <n v="108"/>
    <n v="120000"/>
    <m/>
    <m/>
    <n v="108"/>
    <n v="12960000"/>
    <m/>
    <m/>
  </r>
  <r>
    <s v="WALK IN"/>
    <x v="1"/>
    <x v="80"/>
    <x v="2"/>
    <n v="6"/>
    <n v="120000"/>
    <m/>
    <m/>
    <n v="6"/>
    <n v="720000"/>
    <m/>
    <m/>
  </r>
  <r>
    <s v="KERJASAMA MITRA"/>
    <x v="2"/>
    <x v="80"/>
    <x v="2"/>
    <n v="6"/>
    <n v="150000"/>
    <m/>
    <m/>
    <n v="6"/>
    <n v="900000"/>
    <m/>
    <m/>
  </r>
  <r>
    <s v="KERJASAMA MITRA"/>
    <x v="4"/>
    <x v="80"/>
    <x v="2"/>
    <n v="1"/>
    <n v="130000"/>
    <m/>
    <m/>
    <n v="1"/>
    <n v="130000"/>
    <m/>
    <m/>
  </r>
  <r>
    <s v="WALK IN"/>
    <x v="0"/>
    <x v="81"/>
    <x v="2"/>
    <n v="81"/>
    <n v="120000"/>
    <m/>
    <m/>
    <n v="81"/>
    <n v="9720000"/>
    <m/>
    <m/>
  </r>
  <r>
    <s v="WALK IN"/>
    <x v="1"/>
    <x v="81"/>
    <x v="2"/>
    <n v="5"/>
    <n v="120000"/>
    <m/>
    <m/>
    <n v="5"/>
    <n v="600000"/>
    <m/>
    <m/>
  </r>
  <r>
    <s v="KERJASAMA MITRA"/>
    <x v="2"/>
    <x v="81"/>
    <x v="2"/>
    <n v="4"/>
    <n v="150000"/>
    <m/>
    <m/>
    <n v="4"/>
    <n v="600000"/>
    <m/>
    <m/>
  </r>
  <r>
    <s v="KERJASAMA MITRA"/>
    <x v="3"/>
    <x v="81"/>
    <x v="2"/>
    <n v="3"/>
    <n v="130000"/>
    <m/>
    <m/>
    <n v="3"/>
    <n v="390000"/>
    <m/>
    <m/>
  </r>
  <r>
    <s v="KERJASAMA MITRA"/>
    <x v="4"/>
    <x v="81"/>
    <x v="2"/>
    <n v="1"/>
    <n v="130000"/>
    <m/>
    <m/>
    <n v="1"/>
    <n v="130000"/>
    <m/>
    <m/>
  </r>
  <r>
    <s v="WALK IN"/>
    <x v="0"/>
    <x v="82"/>
    <x v="3"/>
    <n v="32"/>
    <n v="120000"/>
    <m/>
    <m/>
    <n v="32"/>
    <n v="3840000"/>
    <m/>
    <m/>
  </r>
  <r>
    <s v="WALK IN"/>
    <x v="1"/>
    <x v="82"/>
    <x v="3"/>
    <n v="42"/>
    <n v="120000"/>
    <m/>
    <m/>
    <n v="42"/>
    <n v="5040240"/>
    <m/>
    <m/>
  </r>
  <r>
    <s v="KERJASAMA MITRA"/>
    <x v="4"/>
    <x v="82"/>
    <x v="3"/>
    <n v="3"/>
    <n v="130000"/>
    <m/>
    <m/>
    <n v="3"/>
    <n v="390000"/>
    <m/>
    <m/>
  </r>
  <r>
    <s v="WALK IN"/>
    <x v="0"/>
    <x v="83"/>
    <x v="3"/>
    <n v="43"/>
    <n v="120000"/>
    <m/>
    <m/>
    <n v="43"/>
    <n v="5160000"/>
    <m/>
    <m/>
  </r>
  <r>
    <s v="WALK IN"/>
    <x v="1"/>
    <x v="83"/>
    <x v="3"/>
    <n v="40"/>
    <n v="120000"/>
    <m/>
    <m/>
    <n v="40"/>
    <n v="4801000"/>
    <m/>
    <m/>
  </r>
  <r>
    <s v="KERJASAMA MITRA"/>
    <x v="2"/>
    <x v="83"/>
    <x v="3"/>
    <n v="6"/>
    <n v="150000"/>
    <m/>
    <m/>
    <n v="6"/>
    <n v="900000"/>
    <m/>
    <m/>
  </r>
  <r>
    <s v="KERJASAMA MITRA"/>
    <x v="3"/>
    <x v="83"/>
    <x v="3"/>
    <n v="2"/>
    <n v="130000"/>
    <m/>
    <m/>
    <n v="2"/>
    <n v="260000"/>
    <m/>
    <m/>
  </r>
  <r>
    <s v="KERJASAMA MITRA"/>
    <x v="5"/>
    <x v="83"/>
    <x v="3"/>
    <n v="4"/>
    <n v="130000"/>
    <m/>
    <m/>
    <n v="4"/>
    <n v="520000"/>
    <m/>
    <m/>
  </r>
  <r>
    <s v="WALK IN"/>
    <x v="0"/>
    <x v="84"/>
    <x v="3"/>
    <n v="10"/>
    <n v="120000"/>
    <m/>
    <m/>
    <n v="10"/>
    <n v="1200000"/>
    <m/>
    <m/>
  </r>
  <r>
    <s v="WALK IN"/>
    <x v="1"/>
    <x v="84"/>
    <x v="3"/>
    <n v="127"/>
    <n v="120000"/>
    <m/>
    <m/>
    <n v="127"/>
    <n v="15240000"/>
    <m/>
    <m/>
  </r>
  <r>
    <s v="KERJASAMA MITRA"/>
    <x v="3"/>
    <x v="84"/>
    <x v="3"/>
    <n v="4"/>
    <n v="130000"/>
    <m/>
    <m/>
    <n v="4"/>
    <n v="520000"/>
    <m/>
    <m/>
  </r>
  <r>
    <s v="KERJASAMA MITRA"/>
    <x v="4"/>
    <x v="84"/>
    <x v="3"/>
    <n v="9"/>
    <n v="130000"/>
    <m/>
    <m/>
    <n v="9"/>
    <n v="1170000"/>
    <m/>
    <m/>
  </r>
  <r>
    <s v="WALK IN"/>
    <x v="0"/>
    <x v="85"/>
    <x v="3"/>
    <n v="91"/>
    <n v="120000"/>
    <m/>
    <m/>
    <n v="91"/>
    <n v="10920000"/>
    <m/>
    <m/>
  </r>
  <r>
    <s v="WALK IN"/>
    <x v="1"/>
    <x v="85"/>
    <x v="3"/>
    <n v="38"/>
    <n v="120000"/>
    <m/>
    <m/>
    <n v="38"/>
    <n v="4560000"/>
    <m/>
    <m/>
  </r>
  <r>
    <s v="KERJASAMA MITRA"/>
    <x v="2"/>
    <x v="85"/>
    <x v="3"/>
    <n v="5"/>
    <n v="150000"/>
    <m/>
    <m/>
    <n v="5"/>
    <n v="750000"/>
    <m/>
    <m/>
  </r>
  <r>
    <s v="KERJASAMA MITRA"/>
    <x v="3"/>
    <x v="85"/>
    <x v="3"/>
    <n v="2"/>
    <n v="130000"/>
    <m/>
    <m/>
    <n v="2"/>
    <n v="260000"/>
    <m/>
    <m/>
  </r>
  <r>
    <s v="KERJASAMA MITRA"/>
    <x v="4"/>
    <x v="85"/>
    <x v="3"/>
    <n v="2"/>
    <n v="130000"/>
    <m/>
    <m/>
    <n v="2"/>
    <n v="260000"/>
    <m/>
    <m/>
  </r>
  <r>
    <s v="KERJASAMA MITRA"/>
    <x v="5"/>
    <x v="85"/>
    <x v="3"/>
    <n v="3"/>
    <n v="130000"/>
    <m/>
    <m/>
    <n v="3"/>
    <n v="390000"/>
    <m/>
    <m/>
  </r>
  <r>
    <s v="KERJASAMA MITRA"/>
    <x v="6"/>
    <x v="85"/>
    <x v="3"/>
    <n v="14"/>
    <n v="130000"/>
    <m/>
    <m/>
    <n v="14"/>
    <n v="1820000"/>
    <m/>
    <m/>
  </r>
  <r>
    <s v="WALK IN"/>
    <x v="0"/>
    <x v="86"/>
    <x v="3"/>
    <n v="52"/>
    <n v="120000"/>
    <m/>
    <m/>
    <n v="52"/>
    <n v="6240000"/>
    <m/>
    <m/>
  </r>
  <r>
    <s v="WALK IN"/>
    <x v="1"/>
    <x v="86"/>
    <x v="3"/>
    <n v="5"/>
    <n v="120000"/>
    <m/>
    <m/>
    <n v="5"/>
    <n v="600000"/>
    <m/>
    <m/>
  </r>
  <r>
    <s v="KERJASAMA MITRA"/>
    <x v="2"/>
    <x v="86"/>
    <x v="3"/>
    <n v="4"/>
    <n v="150000"/>
    <m/>
    <m/>
    <n v="4"/>
    <n v="600000"/>
    <m/>
    <m/>
  </r>
  <r>
    <s v="KERJASAMA MITRA"/>
    <x v="3"/>
    <x v="86"/>
    <x v="3"/>
    <n v="5"/>
    <n v="130000"/>
    <m/>
    <m/>
    <n v="5"/>
    <n v="650000"/>
    <m/>
    <m/>
  </r>
  <r>
    <s v="KERJASAMA MITRA"/>
    <x v="4"/>
    <x v="86"/>
    <x v="3"/>
    <n v="3"/>
    <n v="130000"/>
    <m/>
    <m/>
    <n v="3"/>
    <n v="390000"/>
    <m/>
    <m/>
  </r>
  <r>
    <s v="KERJASAMA MITRA"/>
    <x v="5"/>
    <x v="86"/>
    <x v="3"/>
    <n v="1"/>
    <n v="130000"/>
    <m/>
    <m/>
    <n v="1"/>
    <n v="130000"/>
    <m/>
    <m/>
  </r>
  <r>
    <s v="KERJASAMA MITRA"/>
    <x v="6"/>
    <x v="86"/>
    <x v="3"/>
    <n v="28"/>
    <n v="130000"/>
    <m/>
    <m/>
    <n v="28"/>
    <n v="3640000"/>
    <m/>
    <m/>
  </r>
  <r>
    <s v="WALK IN"/>
    <x v="0"/>
    <x v="87"/>
    <x v="3"/>
    <n v="63"/>
    <n v="120000"/>
    <m/>
    <m/>
    <n v="63"/>
    <n v="7560000"/>
    <m/>
    <m/>
  </r>
  <r>
    <s v="WALK IN"/>
    <x v="1"/>
    <x v="87"/>
    <x v="3"/>
    <n v="10"/>
    <n v="120000"/>
    <m/>
    <m/>
    <n v="10"/>
    <n v="1200000"/>
    <m/>
    <m/>
  </r>
  <r>
    <s v="KERJASAMA MITRA"/>
    <x v="2"/>
    <x v="87"/>
    <x v="3"/>
    <n v="2"/>
    <n v="150000"/>
    <m/>
    <m/>
    <n v="2"/>
    <n v="300000"/>
    <m/>
    <m/>
  </r>
  <r>
    <s v="KERJASAMA MITRA"/>
    <x v="4"/>
    <x v="87"/>
    <x v="3"/>
    <n v="2"/>
    <n v="130000"/>
    <m/>
    <m/>
    <n v="2"/>
    <n v="260000"/>
    <m/>
    <m/>
  </r>
  <r>
    <s v="KERJASAMA MITRA"/>
    <x v="5"/>
    <x v="87"/>
    <x v="3"/>
    <n v="4"/>
    <n v="130000"/>
    <m/>
    <m/>
    <n v="4"/>
    <n v="520000"/>
    <m/>
    <m/>
  </r>
  <r>
    <s v="KERJASAMA MITRA"/>
    <x v="6"/>
    <x v="87"/>
    <x v="3"/>
    <n v="60"/>
    <n v="130000"/>
    <m/>
    <m/>
    <n v="60"/>
    <n v="7800000"/>
    <m/>
    <m/>
  </r>
  <r>
    <s v="KERJASAMA MITRA"/>
    <x v="7"/>
    <x v="87"/>
    <x v="3"/>
    <n v="13"/>
    <n v="110000"/>
    <m/>
    <m/>
    <n v="13"/>
    <n v="1430000"/>
    <m/>
    <m/>
  </r>
  <r>
    <s v="WALK IN"/>
    <x v="0"/>
    <x v="88"/>
    <x v="3"/>
    <n v="58"/>
    <n v="120000"/>
    <m/>
    <m/>
    <n v="58"/>
    <n v="6960100"/>
    <m/>
    <m/>
  </r>
  <r>
    <s v="WALK IN"/>
    <x v="1"/>
    <x v="88"/>
    <x v="3"/>
    <n v="3"/>
    <n v="120000"/>
    <m/>
    <m/>
    <n v="3"/>
    <n v="360000"/>
    <m/>
    <m/>
  </r>
  <r>
    <s v="KERJASAMA MITRA"/>
    <x v="2"/>
    <x v="88"/>
    <x v="3"/>
    <n v="1"/>
    <n v="150000"/>
    <m/>
    <m/>
    <n v="1"/>
    <n v="150000"/>
    <m/>
    <m/>
  </r>
  <r>
    <s v="KERJASAMA MITRA"/>
    <x v="3"/>
    <x v="88"/>
    <x v="3"/>
    <n v="4"/>
    <n v="130000"/>
    <m/>
    <m/>
    <n v="4"/>
    <n v="520000"/>
    <m/>
    <m/>
  </r>
  <r>
    <s v="KERJASAMA MITRA"/>
    <x v="5"/>
    <x v="88"/>
    <x v="3"/>
    <n v="11"/>
    <n v="130000"/>
    <m/>
    <m/>
    <n v="11"/>
    <n v="1430000"/>
    <m/>
    <m/>
  </r>
  <r>
    <s v="KERJASAMA MITRA"/>
    <x v="4"/>
    <x v="88"/>
    <x v="3"/>
    <n v="4"/>
    <n v="130000"/>
    <m/>
    <m/>
    <n v="4"/>
    <n v="520000"/>
    <m/>
    <m/>
  </r>
  <r>
    <s v="KERJASAMA MITRA"/>
    <x v="6"/>
    <x v="88"/>
    <x v="3"/>
    <n v="22"/>
    <n v="130000"/>
    <m/>
    <m/>
    <n v="22"/>
    <n v="2860000"/>
    <m/>
    <m/>
  </r>
  <r>
    <s v="WALK IN"/>
    <x v="0"/>
    <x v="89"/>
    <x v="3"/>
    <n v="60"/>
    <n v="120000"/>
    <m/>
    <m/>
    <n v="60"/>
    <n v="7200000"/>
    <m/>
    <m/>
  </r>
  <r>
    <s v="WALK IN"/>
    <x v="1"/>
    <x v="89"/>
    <x v="3"/>
    <n v="12"/>
    <n v="120000"/>
    <m/>
    <m/>
    <n v="12"/>
    <n v="1440000"/>
    <m/>
    <m/>
  </r>
  <r>
    <s v="KERJASAMA MITRA"/>
    <x v="2"/>
    <x v="89"/>
    <x v="3"/>
    <n v="6"/>
    <n v="150000"/>
    <m/>
    <m/>
    <n v="6"/>
    <n v="900000"/>
    <m/>
    <m/>
  </r>
  <r>
    <s v="KERJASAMA MITRA"/>
    <x v="5"/>
    <x v="89"/>
    <x v="3"/>
    <n v="2"/>
    <n v="130000"/>
    <m/>
    <m/>
    <n v="2"/>
    <n v="260000"/>
    <m/>
    <m/>
  </r>
  <r>
    <s v="KERJASAMA MITRA"/>
    <x v="4"/>
    <x v="89"/>
    <x v="3"/>
    <n v="5"/>
    <n v="130000"/>
    <m/>
    <m/>
    <n v="5"/>
    <n v="650000"/>
    <m/>
    <m/>
  </r>
  <r>
    <s v="KERJASAMA MITRA"/>
    <x v="6"/>
    <x v="89"/>
    <x v="3"/>
    <n v="41"/>
    <n v="130000"/>
    <m/>
    <m/>
    <n v="41"/>
    <n v="5330000"/>
    <m/>
    <m/>
  </r>
  <r>
    <s v="WALK IN"/>
    <x v="0"/>
    <x v="90"/>
    <x v="3"/>
    <n v="59"/>
    <n v="120000"/>
    <m/>
    <m/>
    <n v="59"/>
    <n v="7080000"/>
    <m/>
    <m/>
  </r>
  <r>
    <s v="WALK IN"/>
    <x v="1"/>
    <x v="90"/>
    <x v="3"/>
    <n v="7"/>
    <n v="120000"/>
    <m/>
    <m/>
    <n v="7"/>
    <n v="840000"/>
    <m/>
    <m/>
  </r>
  <r>
    <s v="KERJASAMA MITRA"/>
    <x v="2"/>
    <x v="90"/>
    <x v="3"/>
    <n v="5"/>
    <n v="150000"/>
    <m/>
    <m/>
    <n v="5"/>
    <n v="750000"/>
    <m/>
    <m/>
  </r>
  <r>
    <s v="KERJASAMA MITRA"/>
    <x v="3"/>
    <x v="90"/>
    <x v="3"/>
    <n v="3"/>
    <n v="130000"/>
    <m/>
    <m/>
    <n v="3"/>
    <n v="390000"/>
    <m/>
    <m/>
  </r>
  <r>
    <s v="KERJASAMA MITRA"/>
    <x v="4"/>
    <x v="90"/>
    <x v="3"/>
    <n v="4"/>
    <n v="130000"/>
    <m/>
    <m/>
    <n v="4"/>
    <n v="520000"/>
    <m/>
    <m/>
  </r>
  <r>
    <s v="KERJASAMA MITRA"/>
    <x v="5"/>
    <x v="90"/>
    <x v="3"/>
    <n v="3"/>
    <n v="130000"/>
    <m/>
    <m/>
    <n v="3"/>
    <n v="390000"/>
    <m/>
    <m/>
  </r>
  <r>
    <s v="KERJASAMA MITRA"/>
    <x v="6"/>
    <x v="90"/>
    <x v="3"/>
    <n v="47"/>
    <n v="130000"/>
    <m/>
    <m/>
    <n v="47"/>
    <n v="6110000"/>
    <m/>
    <m/>
  </r>
  <r>
    <s v="WALK IN"/>
    <x v="0"/>
    <x v="91"/>
    <x v="3"/>
    <n v="75"/>
    <n v="120000"/>
    <m/>
    <m/>
    <n v="75"/>
    <n v="9000000"/>
    <m/>
    <m/>
  </r>
  <r>
    <s v="WALK IN"/>
    <x v="1"/>
    <x v="91"/>
    <x v="3"/>
    <n v="19"/>
    <n v="120000"/>
    <m/>
    <m/>
    <n v="19"/>
    <n v="2280000"/>
    <m/>
    <m/>
  </r>
  <r>
    <s v="KERJASAMA MITRA"/>
    <x v="2"/>
    <x v="91"/>
    <x v="3"/>
    <n v="2"/>
    <n v="150000"/>
    <m/>
    <m/>
    <n v="2"/>
    <n v="300000"/>
    <m/>
    <m/>
  </r>
  <r>
    <s v="KERJASAMA MITRA"/>
    <x v="5"/>
    <x v="91"/>
    <x v="3"/>
    <n v="5"/>
    <n v="130000"/>
    <m/>
    <m/>
    <n v="5"/>
    <n v="650000"/>
    <m/>
    <m/>
  </r>
  <r>
    <s v="KERJASAMA MITRA"/>
    <x v="4"/>
    <x v="91"/>
    <x v="3"/>
    <n v="6"/>
    <n v="130000"/>
    <m/>
    <m/>
    <n v="6"/>
    <n v="780000"/>
    <m/>
    <m/>
  </r>
  <r>
    <s v="KERJASAMA MITRA"/>
    <x v="6"/>
    <x v="91"/>
    <x v="3"/>
    <n v="48"/>
    <n v="130000"/>
    <m/>
    <m/>
    <n v="48"/>
    <n v="6240000"/>
    <m/>
    <m/>
  </r>
  <r>
    <s v="WALK IN"/>
    <x v="0"/>
    <x v="92"/>
    <x v="3"/>
    <n v="60"/>
    <n v="120000"/>
    <m/>
    <m/>
    <n v="60"/>
    <n v="7200000"/>
    <m/>
    <m/>
  </r>
  <r>
    <s v="WALK IN"/>
    <x v="1"/>
    <x v="92"/>
    <x v="3"/>
    <n v="10"/>
    <n v="120000"/>
    <m/>
    <m/>
    <n v="10"/>
    <n v="1200000"/>
    <m/>
    <m/>
  </r>
  <r>
    <s v="KERJASAMA MITRA"/>
    <x v="2"/>
    <x v="92"/>
    <x v="3"/>
    <n v="2"/>
    <n v="150000"/>
    <m/>
    <m/>
    <n v="2"/>
    <n v="300000"/>
    <m/>
    <m/>
  </r>
  <r>
    <s v="KERJASAMA MITRA"/>
    <x v="5"/>
    <x v="92"/>
    <x v="3"/>
    <n v="4"/>
    <n v="130000"/>
    <m/>
    <m/>
    <n v="4"/>
    <n v="520000"/>
    <m/>
    <m/>
  </r>
  <r>
    <s v="KERJASAMA MITRA"/>
    <x v="4"/>
    <x v="92"/>
    <x v="3"/>
    <n v="11"/>
    <n v="130000"/>
    <m/>
    <m/>
    <n v="11"/>
    <n v="1430000"/>
    <m/>
    <m/>
  </r>
  <r>
    <s v="KERJASAMA MITRA"/>
    <x v="6"/>
    <x v="92"/>
    <x v="3"/>
    <n v="68"/>
    <n v="130000"/>
    <m/>
    <m/>
    <n v="68"/>
    <n v="8840000"/>
    <m/>
    <m/>
  </r>
  <r>
    <s v="KERJASAMA MITRA"/>
    <x v="7"/>
    <x v="92"/>
    <x v="3"/>
    <n v="17"/>
    <n v="110000"/>
    <m/>
    <m/>
    <n v="17"/>
    <n v="1870000"/>
    <m/>
    <m/>
  </r>
  <r>
    <s v="WALK IN"/>
    <x v="0"/>
    <x v="93"/>
    <x v="3"/>
    <n v="74"/>
    <n v="120000"/>
    <m/>
    <m/>
    <n v="74"/>
    <n v="8900000"/>
    <m/>
    <m/>
  </r>
  <r>
    <s v="WALK IN"/>
    <x v="1"/>
    <x v="93"/>
    <x v="3"/>
    <n v="4"/>
    <n v="120000"/>
    <m/>
    <m/>
    <n v="4"/>
    <n v="480000"/>
    <m/>
    <m/>
  </r>
  <r>
    <s v="KERJASAMA MITRA"/>
    <x v="2"/>
    <x v="93"/>
    <x v="3"/>
    <n v="9"/>
    <n v="150000"/>
    <m/>
    <m/>
    <n v="9"/>
    <n v="1350000"/>
    <m/>
    <m/>
  </r>
  <r>
    <s v="KERJASAMA MITRA"/>
    <x v="5"/>
    <x v="93"/>
    <x v="3"/>
    <n v="4"/>
    <n v="130000"/>
    <m/>
    <m/>
    <n v="4"/>
    <n v="520000"/>
    <m/>
    <m/>
  </r>
  <r>
    <s v="KERJASAMA MITRA"/>
    <x v="4"/>
    <x v="93"/>
    <x v="3"/>
    <n v="14"/>
    <n v="130000"/>
    <m/>
    <m/>
    <n v="14"/>
    <n v="1820000"/>
    <m/>
    <m/>
  </r>
  <r>
    <s v="KERJASAMA MITRA"/>
    <x v="6"/>
    <x v="93"/>
    <x v="3"/>
    <n v="60"/>
    <n v="130000"/>
    <m/>
    <m/>
    <n v="60"/>
    <n v="7800000"/>
    <m/>
    <m/>
  </r>
  <r>
    <s v="WALK IN"/>
    <x v="0"/>
    <x v="94"/>
    <x v="3"/>
    <n v="39"/>
    <n v="99600"/>
    <m/>
    <m/>
    <n v="39"/>
    <n v="3884400"/>
    <m/>
    <m/>
  </r>
  <r>
    <s v="WALK IN"/>
    <x v="1"/>
    <x v="94"/>
    <x v="3"/>
    <n v="8"/>
    <n v="99600"/>
    <m/>
    <m/>
    <n v="8"/>
    <n v="796800"/>
    <m/>
    <m/>
  </r>
  <r>
    <s v="KERJASAMA MITRA"/>
    <x v="2"/>
    <x v="94"/>
    <x v="3"/>
    <n v="6"/>
    <n v="150000"/>
    <m/>
    <m/>
    <n v="6"/>
    <n v="900000"/>
    <m/>
    <m/>
  </r>
  <r>
    <s v="KERJASAMA MITRA"/>
    <x v="3"/>
    <x v="94"/>
    <x v="3"/>
    <n v="4"/>
    <n v="130000"/>
    <m/>
    <m/>
    <n v="4"/>
    <n v="520000"/>
    <m/>
    <m/>
  </r>
  <r>
    <s v="KERJASAMA MITRA"/>
    <x v="5"/>
    <x v="94"/>
    <x v="3"/>
    <n v="6"/>
    <n v="130000"/>
    <m/>
    <m/>
    <n v="6"/>
    <n v="780000"/>
    <m/>
    <m/>
  </r>
  <r>
    <s v="KERJASAMA MITRA"/>
    <x v="4"/>
    <x v="94"/>
    <x v="3"/>
    <n v="5"/>
    <n v="130000"/>
    <m/>
    <m/>
    <n v="5"/>
    <n v="650000"/>
    <m/>
    <m/>
  </r>
  <r>
    <s v="KERJASAMA MITRA"/>
    <x v="6"/>
    <x v="94"/>
    <x v="3"/>
    <n v="71"/>
    <n v="130000"/>
    <m/>
    <m/>
    <n v="71"/>
    <n v="9230000"/>
    <m/>
    <m/>
  </r>
  <r>
    <s v="KERJASAMA MITRA"/>
    <x v="7"/>
    <x v="94"/>
    <x v="3"/>
    <n v="2"/>
    <n v="110000"/>
    <m/>
    <m/>
    <n v="2"/>
    <n v="220000"/>
    <m/>
    <m/>
  </r>
  <r>
    <s v="WALK IN"/>
    <x v="0"/>
    <x v="95"/>
    <x v="3"/>
    <n v="48"/>
    <n v="99600"/>
    <m/>
    <m/>
    <n v="48"/>
    <n v="4780800"/>
    <m/>
    <m/>
  </r>
  <r>
    <s v="WALK IN"/>
    <x v="1"/>
    <x v="95"/>
    <x v="3"/>
    <n v="12"/>
    <n v="99600"/>
    <m/>
    <m/>
    <n v="12"/>
    <n v="1195200"/>
    <m/>
    <m/>
  </r>
  <r>
    <s v="KERJASAMA MITRA"/>
    <x v="2"/>
    <x v="95"/>
    <x v="3"/>
    <n v="4"/>
    <n v="150000"/>
    <m/>
    <m/>
    <n v="4"/>
    <n v="600000"/>
    <m/>
    <m/>
  </r>
  <r>
    <s v="KERJASAMA MITRA"/>
    <x v="4"/>
    <x v="95"/>
    <x v="3"/>
    <n v="4"/>
    <n v="130000"/>
    <m/>
    <m/>
    <n v="4"/>
    <n v="520000"/>
    <m/>
    <m/>
  </r>
  <r>
    <s v="KERJASAMA MITRA"/>
    <x v="5"/>
    <x v="95"/>
    <x v="3"/>
    <n v="1"/>
    <n v="130000"/>
    <m/>
    <m/>
    <n v="1"/>
    <n v="130000"/>
    <m/>
    <m/>
  </r>
  <r>
    <s v="KERJASAMA MITRA"/>
    <x v="6"/>
    <x v="95"/>
    <x v="3"/>
    <n v="62"/>
    <n v="130000"/>
    <m/>
    <m/>
    <n v="62"/>
    <n v="8060000"/>
    <m/>
    <m/>
  </r>
  <r>
    <s v="WALK IN"/>
    <x v="0"/>
    <x v="96"/>
    <x v="3"/>
    <n v="68"/>
    <n v="99600"/>
    <m/>
    <m/>
    <n v="68"/>
    <n v="6772800"/>
    <m/>
    <m/>
  </r>
  <r>
    <s v="WALK IN"/>
    <x v="1"/>
    <x v="96"/>
    <x v="3"/>
    <n v="33"/>
    <n v="99600"/>
    <m/>
    <m/>
    <n v="33"/>
    <n v="3286800"/>
    <m/>
    <m/>
  </r>
  <r>
    <s v="KERJASAMA MITRA"/>
    <x v="2"/>
    <x v="96"/>
    <x v="3"/>
    <n v="7"/>
    <n v="150000"/>
    <m/>
    <m/>
    <n v="7"/>
    <n v="1050000"/>
    <m/>
    <m/>
  </r>
  <r>
    <s v="KERJASAMA MITRA"/>
    <x v="3"/>
    <x v="96"/>
    <x v="3"/>
    <n v="9"/>
    <n v="130000"/>
    <m/>
    <m/>
    <n v="9"/>
    <n v="1170000"/>
    <m/>
    <m/>
  </r>
  <r>
    <s v="KERJASAMA MITRA"/>
    <x v="5"/>
    <x v="96"/>
    <x v="3"/>
    <n v="7"/>
    <n v="130000"/>
    <m/>
    <m/>
    <n v="7"/>
    <n v="910000"/>
    <m/>
    <m/>
  </r>
  <r>
    <s v="KERJASAMA MITRA"/>
    <x v="4"/>
    <x v="96"/>
    <x v="3"/>
    <n v="6"/>
    <n v="130000"/>
    <m/>
    <m/>
    <n v="6"/>
    <n v="780000"/>
    <m/>
    <m/>
  </r>
  <r>
    <s v="KERJASAMA MITRA"/>
    <x v="6"/>
    <x v="96"/>
    <x v="3"/>
    <n v="37"/>
    <n v="130000"/>
    <m/>
    <m/>
    <n v="37"/>
    <n v="4810000"/>
    <m/>
    <m/>
  </r>
  <r>
    <s v="WALK IN"/>
    <x v="0"/>
    <x v="97"/>
    <x v="3"/>
    <n v="96"/>
    <n v="99600"/>
    <m/>
    <m/>
    <n v="96"/>
    <n v="9561600"/>
    <m/>
    <m/>
  </r>
  <r>
    <s v="WALK IN"/>
    <x v="1"/>
    <x v="97"/>
    <x v="3"/>
    <n v="42"/>
    <n v="99600"/>
    <m/>
    <m/>
    <n v="42"/>
    <n v="4183200"/>
    <m/>
    <m/>
  </r>
  <r>
    <s v="KERJASAMA MITRA"/>
    <x v="2"/>
    <x v="97"/>
    <x v="3"/>
    <n v="2"/>
    <n v="150000"/>
    <m/>
    <m/>
    <n v="2"/>
    <n v="300000"/>
    <m/>
    <m/>
  </r>
  <r>
    <s v="KERJASAMA MITRA"/>
    <x v="3"/>
    <x v="97"/>
    <x v="3"/>
    <n v="8"/>
    <n v="130000"/>
    <m/>
    <m/>
    <n v="8"/>
    <n v="1040000"/>
    <m/>
    <m/>
  </r>
  <r>
    <s v="KERJASAMA MITRA"/>
    <x v="4"/>
    <x v="97"/>
    <x v="3"/>
    <n v="22"/>
    <n v="130000"/>
    <m/>
    <m/>
    <n v="22"/>
    <n v="2860000"/>
    <m/>
    <m/>
  </r>
  <r>
    <s v="KERJASAMA MITRA"/>
    <x v="5"/>
    <x v="97"/>
    <x v="3"/>
    <n v="10"/>
    <n v="130000"/>
    <m/>
    <m/>
    <n v="10"/>
    <n v="1300000"/>
    <m/>
    <m/>
  </r>
  <r>
    <s v="KERJASAMA MITRA"/>
    <x v="6"/>
    <x v="97"/>
    <x v="3"/>
    <n v="58"/>
    <n v="130000"/>
    <m/>
    <m/>
    <n v="58"/>
    <n v="7540000"/>
    <m/>
    <m/>
  </r>
  <r>
    <s v="WALK IN"/>
    <x v="0"/>
    <x v="98"/>
    <x v="3"/>
    <n v="122"/>
    <n v="99600"/>
    <m/>
    <m/>
    <n v="122"/>
    <n v="12151200"/>
    <m/>
    <m/>
  </r>
  <r>
    <s v="WALK IN"/>
    <x v="1"/>
    <x v="98"/>
    <x v="3"/>
    <n v="21"/>
    <n v="99600"/>
    <m/>
    <m/>
    <n v="21"/>
    <n v="2091600"/>
    <m/>
    <m/>
  </r>
  <r>
    <s v="KERJASAMA MITRA"/>
    <x v="2"/>
    <x v="98"/>
    <x v="3"/>
    <n v="1"/>
    <n v="150000"/>
    <m/>
    <m/>
    <n v="1"/>
    <n v="150000"/>
    <m/>
    <m/>
  </r>
  <r>
    <s v="KERJASAMA MITRA"/>
    <x v="3"/>
    <x v="98"/>
    <x v="3"/>
    <n v="6"/>
    <n v="130000"/>
    <m/>
    <m/>
    <n v="6"/>
    <n v="780000"/>
    <m/>
    <m/>
  </r>
  <r>
    <s v="KERJASAMA MITRA"/>
    <x v="4"/>
    <x v="98"/>
    <x v="3"/>
    <n v="7"/>
    <n v="130000"/>
    <m/>
    <m/>
    <n v="7"/>
    <n v="910000"/>
    <m/>
    <m/>
  </r>
  <r>
    <s v="KERJASAMA MITRA"/>
    <x v="5"/>
    <x v="98"/>
    <x v="3"/>
    <n v="8"/>
    <n v="130000"/>
    <m/>
    <m/>
    <n v="8"/>
    <n v="1040000"/>
    <m/>
    <m/>
  </r>
  <r>
    <s v="KERJASAMA MITRA"/>
    <x v="6"/>
    <x v="98"/>
    <x v="3"/>
    <n v="51"/>
    <n v="130000"/>
    <m/>
    <m/>
    <n v="51"/>
    <n v="6630000"/>
    <m/>
    <m/>
  </r>
  <r>
    <s v="KERJASAMA MITRA"/>
    <x v="7"/>
    <x v="98"/>
    <x v="3"/>
    <n v="8"/>
    <n v="110000"/>
    <m/>
    <m/>
    <n v="8"/>
    <n v="880000"/>
    <m/>
    <m/>
  </r>
  <r>
    <s v="WALK IN"/>
    <x v="0"/>
    <x v="99"/>
    <x v="3"/>
    <n v="89"/>
    <n v="99600"/>
    <m/>
    <m/>
    <n v="89"/>
    <n v="8864400"/>
    <m/>
    <m/>
  </r>
  <r>
    <s v="WALK IN"/>
    <x v="1"/>
    <x v="99"/>
    <x v="3"/>
    <n v="17"/>
    <n v="99600"/>
    <m/>
    <m/>
    <n v="17"/>
    <n v="1693200"/>
    <m/>
    <m/>
  </r>
  <r>
    <s v="KERJASAMA MITRA"/>
    <x v="2"/>
    <x v="99"/>
    <x v="3"/>
    <n v="3"/>
    <n v="150000"/>
    <m/>
    <m/>
    <n v="3"/>
    <n v="450000"/>
    <m/>
    <m/>
  </r>
  <r>
    <s v="KERJASAMA MITRA"/>
    <x v="3"/>
    <x v="99"/>
    <x v="3"/>
    <n v="3"/>
    <n v="130000"/>
    <m/>
    <m/>
    <n v="3"/>
    <n v="390000"/>
    <m/>
    <m/>
  </r>
  <r>
    <s v="KERJASAMA MITRA"/>
    <x v="4"/>
    <x v="99"/>
    <x v="3"/>
    <n v="3"/>
    <n v="130000"/>
    <m/>
    <m/>
    <n v="3"/>
    <n v="390000"/>
    <m/>
    <m/>
  </r>
  <r>
    <s v="KERJASAMA MITRA"/>
    <x v="5"/>
    <x v="99"/>
    <x v="3"/>
    <n v="5"/>
    <n v="130000"/>
    <m/>
    <m/>
    <n v="5"/>
    <n v="650000"/>
    <m/>
    <m/>
  </r>
  <r>
    <s v="KERJASAMA MITRA"/>
    <x v="6"/>
    <x v="99"/>
    <x v="3"/>
    <n v="63"/>
    <n v="130000"/>
    <m/>
    <m/>
    <n v="63"/>
    <n v="8190000"/>
    <m/>
    <m/>
  </r>
  <r>
    <s v="WALK IN"/>
    <x v="0"/>
    <x v="100"/>
    <x v="3"/>
    <n v="58"/>
    <n v="120000"/>
    <m/>
    <m/>
    <n v="58"/>
    <n v="7000000"/>
    <m/>
    <m/>
  </r>
  <r>
    <s v="WALK IN"/>
    <x v="1"/>
    <x v="100"/>
    <x v="3"/>
    <n v="5"/>
    <n v="120000"/>
    <m/>
    <m/>
    <n v="5"/>
    <n v="600000"/>
    <m/>
    <m/>
  </r>
  <r>
    <s v="KERJASAMA MITRA"/>
    <x v="3"/>
    <x v="100"/>
    <x v="3"/>
    <n v="7"/>
    <n v="130000"/>
    <m/>
    <m/>
    <n v="7"/>
    <n v="910000"/>
    <m/>
    <m/>
  </r>
  <r>
    <s v="KERJASAMA MITRA"/>
    <x v="4"/>
    <x v="100"/>
    <x v="3"/>
    <n v="10"/>
    <n v="130000"/>
    <m/>
    <m/>
    <n v="10"/>
    <n v="1300000"/>
    <m/>
    <m/>
  </r>
  <r>
    <s v="KERJASAMA MITRA"/>
    <x v="5"/>
    <x v="100"/>
    <x v="3"/>
    <n v="3"/>
    <n v="130000"/>
    <m/>
    <m/>
    <n v="3"/>
    <n v="390000"/>
    <m/>
    <m/>
  </r>
  <r>
    <s v="KERJASAMA MITRA"/>
    <x v="6"/>
    <x v="100"/>
    <x v="3"/>
    <n v="54"/>
    <n v="130000"/>
    <m/>
    <m/>
    <n v="54"/>
    <n v="7020000"/>
    <m/>
    <m/>
  </r>
  <r>
    <s v="WALK IN"/>
    <x v="0"/>
    <x v="101"/>
    <x v="3"/>
    <n v="99"/>
    <n v="120000"/>
    <m/>
    <m/>
    <n v="99"/>
    <n v="11880000"/>
    <m/>
    <m/>
  </r>
  <r>
    <s v="WALK IN"/>
    <x v="1"/>
    <x v="101"/>
    <x v="3"/>
    <n v="6"/>
    <n v="120000"/>
    <m/>
    <m/>
    <n v="6"/>
    <n v="720000"/>
    <m/>
    <m/>
  </r>
  <r>
    <s v="KERJASAMA MITRA"/>
    <x v="2"/>
    <x v="101"/>
    <x v="3"/>
    <n v="4"/>
    <n v="150000"/>
    <m/>
    <m/>
    <n v="4"/>
    <n v="600000"/>
    <m/>
    <m/>
  </r>
  <r>
    <s v="KERJASAMA MITRA"/>
    <x v="4"/>
    <x v="101"/>
    <x v="3"/>
    <n v="9"/>
    <n v="130000"/>
    <m/>
    <m/>
    <n v="9"/>
    <n v="1170000"/>
    <m/>
    <m/>
  </r>
  <r>
    <s v="KERJASAMA MITRA"/>
    <x v="5"/>
    <x v="101"/>
    <x v="3"/>
    <n v="2"/>
    <n v="130000"/>
    <m/>
    <m/>
    <n v="2"/>
    <n v="260000"/>
    <m/>
    <m/>
  </r>
  <r>
    <s v="KERJASAMA MITRA"/>
    <x v="6"/>
    <x v="101"/>
    <x v="3"/>
    <n v="85"/>
    <n v="130000"/>
    <m/>
    <m/>
    <n v="85"/>
    <n v="11050000"/>
    <m/>
    <m/>
  </r>
  <r>
    <s v="WALK IN"/>
    <x v="0"/>
    <x v="102"/>
    <x v="3"/>
    <n v="62"/>
    <n v="120000"/>
    <m/>
    <m/>
    <n v="62"/>
    <n v="8440000"/>
    <m/>
    <m/>
  </r>
  <r>
    <s v="KERJASAMA MITRA"/>
    <x v="2"/>
    <x v="102"/>
    <x v="3"/>
    <n v="4"/>
    <n v="150000"/>
    <m/>
    <m/>
    <n v="4"/>
    <n v="600000"/>
    <m/>
    <m/>
  </r>
  <r>
    <s v="KERJASAMA MITRA"/>
    <x v="4"/>
    <x v="102"/>
    <x v="3"/>
    <n v="10"/>
    <n v="130000"/>
    <m/>
    <m/>
    <n v="10"/>
    <n v="1300000"/>
    <m/>
    <m/>
  </r>
  <r>
    <s v="KERJASAMA MITRA"/>
    <x v="5"/>
    <x v="102"/>
    <x v="3"/>
    <n v="9"/>
    <n v="130000"/>
    <m/>
    <m/>
    <n v="9"/>
    <n v="1170000"/>
    <m/>
    <m/>
  </r>
  <r>
    <s v="KERJASAMA MITRA"/>
    <x v="6"/>
    <x v="102"/>
    <x v="3"/>
    <n v="33"/>
    <n v="130000"/>
    <m/>
    <m/>
    <n v="33"/>
    <n v="4290000"/>
    <m/>
    <m/>
  </r>
  <r>
    <s v="WALK IN"/>
    <x v="0"/>
    <x v="103"/>
    <x v="3"/>
    <n v="41"/>
    <n v="120000"/>
    <m/>
    <m/>
    <n v="41"/>
    <n v="5920000"/>
    <m/>
    <m/>
  </r>
  <r>
    <s v="WALK IN"/>
    <x v="1"/>
    <x v="103"/>
    <x v="3"/>
    <n v="8"/>
    <n v="120000"/>
    <m/>
    <m/>
    <n v="8"/>
    <n v="960000"/>
    <m/>
    <m/>
  </r>
  <r>
    <s v="KERJASAMA MITRA"/>
    <x v="2"/>
    <x v="103"/>
    <x v="3"/>
    <n v="5"/>
    <n v="150000"/>
    <m/>
    <m/>
    <n v="5"/>
    <n v="750000"/>
    <m/>
    <m/>
  </r>
  <r>
    <s v="KERJASAMA MITRA"/>
    <x v="3"/>
    <x v="103"/>
    <x v="3"/>
    <n v="2"/>
    <n v="130000"/>
    <m/>
    <m/>
    <n v="2"/>
    <n v="260000"/>
    <m/>
    <m/>
  </r>
  <r>
    <s v="KERJASAMA MITRA"/>
    <x v="4"/>
    <x v="103"/>
    <x v="3"/>
    <n v="21"/>
    <n v="130000"/>
    <m/>
    <m/>
    <n v="21"/>
    <n v="2730000"/>
    <m/>
    <m/>
  </r>
  <r>
    <s v="KERJASAMA MITRA"/>
    <x v="5"/>
    <x v="103"/>
    <x v="3"/>
    <n v="7"/>
    <n v="130000"/>
    <m/>
    <m/>
    <n v="7"/>
    <n v="910000"/>
    <m/>
    <m/>
  </r>
  <r>
    <s v="KERJASAMA MITRA"/>
    <x v="6"/>
    <x v="103"/>
    <x v="3"/>
    <n v="41"/>
    <n v="130000"/>
    <m/>
    <m/>
    <n v="41"/>
    <n v="533000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7">
  <r>
    <s v="WALK IN"/>
    <x v="0"/>
    <d v="2023-05-11T00:00:00"/>
    <x v="0"/>
    <n v="46"/>
    <n v="99000"/>
    <m/>
    <m/>
    <n v="46"/>
    <n v="4554000"/>
  </r>
  <r>
    <s v="WALK IN"/>
    <x v="1"/>
    <d v="2023-05-11T00:00:00"/>
    <x v="0"/>
    <n v="1"/>
    <n v="99000"/>
    <m/>
    <m/>
    <n v="1"/>
    <n v="99000"/>
  </r>
  <r>
    <s v="WALK IN"/>
    <x v="0"/>
    <d v="2023-05-12T00:00:00"/>
    <x v="0"/>
    <n v="171"/>
    <n v="99000"/>
    <m/>
    <m/>
    <n v="171"/>
    <n v="16929000"/>
  </r>
  <r>
    <s v="WALK IN"/>
    <x v="0"/>
    <d v="2023-05-13T00:00:00"/>
    <x v="0"/>
    <n v="98"/>
    <n v="99000"/>
    <m/>
    <m/>
    <n v="98"/>
    <n v="9702000"/>
  </r>
  <r>
    <s v="WALK IN"/>
    <x v="1"/>
    <d v="2023-05-13T00:00:00"/>
    <x v="0"/>
    <n v="4"/>
    <n v="99000"/>
    <m/>
    <m/>
    <n v="4"/>
    <n v="396000"/>
  </r>
  <r>
    <s v="WALK IN"/>
    <x v="0"/>
    <d v="2023-05-14T00:00:00"/>
    <x v="0"/>
    <n v="121"/>
    <n v="99000"/>
    <m/>
    <m/>
    <n v="121"/>
    <n v="11979000"/>
  </r>
  <r>
    <s v="WALK IN"/>
    <x v="1"/>
    <d v="2023-05-14T00:00:00"/>
    <x v="0"/>
    <n v="12"/>
    <n v="99000"/>
    <m/>
    <m/>
    <n v="12"/>
    <n v="1188000"/>
  </r>
  <r>
    <s v="WALK IN"/>
    <x v="0"/>
    <d v="2023-05-15T00:00:00"/>
    <x v="0"/>
    <n v="65"/>
    <n v="99000"/>
    <m/>
    <m/>
    <n v="65"/>
    <n v="6435000"/>
  </r>
  <r>
    <s v="WALK IN"/>
    <x v="1"/>
    <d v="2023-05-15T00:00:00"/>
    <x v="0"/>
    <n v="32"/>
    <n v="99000"/>
    <m/>
    <m/>
    <n v="32"/>
    <n v="3168000"/>
  </r>
  <r>
    <s v="WALK IN"/>
    <x v="0"/>
    <d v="2023-05-16T00:00:00"/>
    <x v="0"/>
    <n v="81"/>
    <n v="99000"/>
    <m/>
    <m/>
    <n v="81"/>
    <n v="8019000"/>
  </r>
  <r>
    <s v="WALK IN"/>
    <x v="1"/>
    <d v="2023-05-16T00:00:00"/>
    <x v="0"/>
    <n v="10"/>
    <n v="99000"/>
    <m/>
    <m/>
    <n v="10"/>
    <n v="990000"/>
  </r>
  <r>
    <s v="WALK IN"/>
    <x v="0"/>
    <d v="2023-05-17T00:00:00"/>
    <x v="0"/>
    <n v="136"/>
    <n v="99000"/>
    <m/>
    <m/>
    <n v="136"/>
    <n v="13464000"/>
  </r>
  <r>
    <s v="WALK IN"/>
    <x v="1"/>
    <d v="2023-05-17T00:00:00"/>
    <x v="0"/>
    <n v="28"/>
    <n v="99000"/>
    <m/>
    <m/>
    <n v="28"/>
    <n v="2772000"/>
  </r>
  <r>
    <s v="WALK IN"/>
    <x v="0"/>
    <d v="2023-05-18T00:00:00"/>
    <x v="0"/>
    <n v="133"/>
    <n v="99000"/>
    <m/>
    <m/>
    <n v="133"/>
    <n v="13167000"/>
  </r>
  <r>
    <s v="WALK IN"/>
    <x v="1"/>
    <d v="2023-05-18T00:00:00"/>
    <x v="0"/>
    <n v="34"/>
    <n v="99000"/>
    <m/>
    <m/>
    <n v="34"/>
    <n v="3366000"/>
  </r>
  <r>
    <s v="WALK IN"/>
    <x v="0"/>
    <d v="2023-05-19T00:00:00"/>
    <x v="0"/>
    <n v="125"/>
    <n v="99000"/>
    <m/>
    <m/>
    <n v="125"/>
    <n v="12375000"/>
  </r>
  <r>
    <s v="WALK IN"/>
    <x v="1"/>
    <d v="2023-05-19T00:00:00"/>
    <x v="0"/>
    <n v="14"/>
    <n v="99000"/>
    <m/>
    <m/>
    <n v="14"/>
    <n v="1386000"/>
  </r>
  <r>
    <s v="WALK IN"/>
    <x v="0"/>
    <d v="2023-05-20T00:00:00"/>
    <x v="0"/>
    <n v="86"/>
    <n v="99000"/>
    <m/>
    <m/>
    <n v="86"/>
    <n v="8514000"/>
  </r>
  <r>
    <s v="WALK IN"/>
    <x v="1"/>
    <d v="2023-05-20T00:00:00"/>
    <x v="0"/>
    <n v="10"/>
    <n v="99000"/>
    <m/>
    <m/>
    <n v="10"/>
    <n v="990000"/>
  </r>
  <r>
    <s v="WALK IN"/>
    <x v="0"/>
    <d v="2023-05-21T00:00:00"/>
    <x v="0"/>
    <n v="89"/>
    <n v="99000"/>
    <m/>
    <m/>
    <n v="89"/>
    <n v="8811000"/>
  </r>
  <r>
    <s v="WALK IN"/>
    <x v="1"/>
    <d v="2023-05-21T00:00:00"/>
    <x v="0"/>
    <n v="17"/>
    <n v="99000"/>
    <m/>
    <m/>
    <n v="17"/>
    <n v="1683000"/>
  </r>
  <r>
    <s v="WALK IN"/>
    <x v="0"/>
    <d v="2023-05-22T00:00:00"/>
    <x v="0"/>
    <n v="73"/>
    <n v="99000"/>
    <m/>
    <m/>
    <n v="73"/>
    <n v="7227000"/>
  </r>
  <r>
    <s v="WALK IN"/>
    <x v="1"/>
    <d v="2023-05-22T00:00:00"/>
    <x v="0"/>
    <n v="14"/>
    <n v="99000"/>
    <m/>
    <m/>
    <n v="14"/>
    <n v="1386000"/>
  </r>
  <r>
    <s v="WALK IN"/>
    <x v="0"/>
    <d v="2023-05-23T00:00:00"/>
    <x v="0"/>
    <n v="56"/>
    <n v="99000"/>
    <m/>
    <m/>
    <n v="56"/>
    <n v="5544000"/>
  </r>
  <r>
    <s v="WALK IN"/>
    <x v="1"/>
    <d v="2023-05-23T00:00:00"/>
    <x v="0"/>
    <n v="14"/>
    <n v="99000"/>
    <m/>
    <m/>
    <n v="14"/>
    <n v="1386000"/>
  </r>
  <r>
    <s v="WALK IN"/>
    <x v="0"/>
    <d v="2023-05-24T00:00:00"/>
    <x v="0"/>
    <n v="77"/>
    <n v="99000"/>
    <m/>
    <m/>
    <n v="77"/>
    <n v="7623000"/>
  </r>
  <r>
    <s v="WALK IN"/>
    <x v="1"/>
    <d v="2023-05-24T00:00:00"/>
    <x v="0"/>
    <n v="7"/>
    <n v="99000"/>
    <m/>
    <m/>
    <n v="7"/>
    <n v="693000"/>
  </r>
  <r>
    <s v="WALK IN"/>
    <x v="0"/>
    <d v="2023-05-25T00:00:00"/>
    <x v="0"/>
    <n v="127"/>
    <n v="99000"/>
    <m/>
    <m/>
    <n v="127"/>
    <n v="12573000"/>
  </r>
  <r>
    <s v="WALK IN"/>
    <x v="1"/>
    <d v="2023-05-25T00:00:00"/>
    <x v="0"/>
    <n v="17"/>
    <n v="99000"/>
    <m/>
    <m/>
    <n v="17"/>
    <n v="1683000"/>
  </r>
  <r>
    <s v="WALK IN"/>
    <x v="0"/>
    <d v="2023-05-26T00:00:00"/>
    <x v="0"/>
    <n v="158"/>
    <n v="99000"/>
    <m/>
    <m/>
    <n v="158"/>
    <n v="15642000"/>
  </r>
  <r>
    <s v="WALK IN"/>
    <x v="1"/>
    <d v="2023-05-26T00:00:00"/>
    <x v="0"/>
    <n v="18"/>
    <n v="99000"/>
    <m/>
    <m/>
    <n v="18"/>
    <n v="1782000"/>
  </r>
  <r>
    <s v="WALK IN"/>
    <x v="0"/>
    <d v="2023-05-27T00:00:00"/>
    <x v="0"/>
    <n v="94"/>
    <n v="99000"/>
    <m/>
    <m/>
    <n v="94"/>
    <n v="9306000"/>
  </r>
  <r>
    <s v="WALK IN"/>
    <x v="1"/>
    <d v="2023-05-27T00:00:00"/>
    <x v="0"/>
    <n v="5"/>
    <n v="99000"/>
    <m/>
    <m/>
    <n v="5"/>
    <n v="495000"/>
  </r>
  <r>
    <s v="WALK IN"/>
    <x v="0"/>
    <d v="2023-05-28T00:00:00"/>
    <x v="0"/>
    <n v="104"/>
    <n v="99000"/>
    <m/>
    <m/>
    <n v="104"/>
    <n v="10296000"/>
  </r>
  <r>
    <s v="WALK IN"/>
    <x v="1"/>
    <d v="2023-05-28T00:00:00"/>
    <x v="0"/>
    <n v="6"/>
    <n v="99000"/>
    <m/>
    <m/>
    <n v="6"/>
    <n v="594000"/>
  </r>
  <r>
    <s v="WALK IN"/>
    <x v="0"/>
    <d v="2023-05-29T00:00:00"/>
    <x v="0"/>
    <n v="77"/>
    <n v="99000"/>
    <m/>
    <m/>
    <n v="77"/>
    <n v="7623000"/>
  </r>
  <r>
    <s v="WALK IN"/>
    <x v="1"/>
    <d v="2023-05-29T00:00:00"/>
    <x v="0"/>
    <n v="32"/>
    <n v="99000"/>
    <m/>
    <m/>
    <n v="32"/>
    <n v="3168000"/>
  </r>
  <r>
    <s v="WALK IN"/>
    <x v="0"/>
    <d v="2023-05-30T00:00:00"/>
    <x v="0"/>
    <n v="81"/>
    <n v="99000"/>
    <m/>
    <m/>
    <n v="81"/>
    <n v="8019000"/>
  </r>
  <r>
    <s v="WALK IN"/>
    <x v="1"/>
    <d v="2023-05-30T00:00:00"/>
    <x v="0"/>
    <n v="32"/>
    <n v="99000"/>
    <m/>
    <m/>
    <n v="32"/>
    <n v="3168000"/>
  </r>
  <r>
    <s v="WALK IN"/>
    <x v="0"/>
    <d v="2023-05-31T00:00:00"/>
    <x v="0"/>
    <n v="126"/>
    <n v="99000"/>
    <m/>
    <m/>
    <n v="126"/>
    <n v="12474000"/>
  </r>
  <r>
    <s v="WALK IN"/>
    <x v="1"/>
    <d v="2023-05-31T00:00:00"/>
    <x v="0"/>
    <n v="16"/>
    <n v="99000"/>
    <m/>
    <m/>
    <n v="16"/>
    <n v="1584000"/>
  </r>
  <r>
    <s v="WALK IN"/>
    <x v="0"/>
    <d v="2023-06-01T00:00:00"/>
    <x v="1"/>
    <n v="153"/>
    <n v="99000"/>
    <m/>
    <m/>
    <n v="153"/>
    <n v="15147000"/>
  </r>
  <r>
    <s v="WALK IN"/>
    <x v="1"/>
    <d v="2023-06-01T00:00:00"/>
    <x v="1"/>
    <n v="17"/>
    <n v="99000"/>
    <m/>
    <m/>
    <n v="17"/>
    <n v="1683000"/>
  </r>
  <r>
    <s v="WALK IN"/>
    <x v="0"/>
    <d v="2023-06-02T00:00:00"/>
    <x v="1"/>
    <n v="87"/>
    <n v="99000"/>
    <m/>
    <m/>
    <n v="87"/>
    <n v="8613000"/>
  </r>
  <r>
    <s v="WALK IN"/>
    <x v="1"/>
    <d v="2023-06-02T00:00:00"/>
    <x v="1"/>
    <n v="15"/>
    <n v="99000"/>
    <m/>
    <m/>
    <n v="15"/>
    <n v="1485000"/>
  </r>
  <r>
    <s v="KERJASAMA MITRA"/>
    <x v="2"/>
    <d v="2023-06-02T00:00:00"/>
    <x v="1"/>
    <n v="1"/>
    <n v="150000"/>
    <m/>
    <m/>
    <n v="1"/>
    <n v="150000"/>
  </r>
  <r>
    <s v="WALK IN"/>
    <x v="0"/>
    <d v="2023-06-03T00:00:00"/>
    <x v="1"/>
    <n v="65"/>
    <n v="99000"/>
    <m/>
    <m/>
    <n v="65"/>
    <n v="6435000"/>
  </r>
  <r>
    <s v="WALK IN"/>
    <x v="1"/>
    <d v="2023-06-03T00:00:00"/>
    <x v="1"/>
    <n v="2"/>
    <n v="99000"/>
    <m/>
    <m/>
    <n v="2"/>
    <n v="198000"/>
  </r>
  <r>
    <s v="KERJASAMA MITRA"/>
    <x v="2"/>
    <d v="2023-06-03T00:00:00"/>
    <x v="1"/>
    <n v="1"/>
    <n v="150000"/>
    <m/>
    <m/>
    <n v="1"/>
    <n v="150000"/>
  </r>
  <r>
    <s v="WALK IN"/>
    <x v="0"/>
    <d v="2023-06-04T00:00:00"/>
    <x v="1"/>
    <n v="115"/>
    <n v="99000"/>
    <m/>
    <m/>
    <n v="115"/>
    <n v="11385000"/>
  </r>
  <r>
    <s v="KERJASAMA MITRA"/>
    <x v="2"/>
    <d v="2023-06-04T00:00:00"/>
    <x v="1"/>
    <n v="1"/>
    <n v="150000"/>
    <m/>
    <m/>
    <n v="1"/>
    <n v="150000"/>
  </r>
  <r>
    <s v="WALK IN"/>
    <x v="0"/>
    <d v="2023-06-05T00:00:00"/>
    <x v="1"/>
    <n v="140"/>
    <n v="99000"/>
    <m/>
    <m/>
    <n v="140"/>
    <n v="13860000"/>
  </r>
  <r>
    <s v="WALK IN"/>
    <x v="1"/>
    <d v="2023-06-05T00:00:00"/>
    <x v="1"/>
    <n v="15"/>
    <n v="99000"/>
    <m/>
    <m/>
    <n v="15"/>
    <n v="1485000"/>
  </r>
  <r>
    <s v="KERJASAMA MITRA"/>
    <x v="2"/>
    <d v="2023-06-05T00:00:00"/>
    <x v="1"/>
    <n v="1"/>
    <n v="150000"/>
    <m/>
    <m/>
    <n v="1"/>
    <n v="150000"/>
  </r>
  <r>
    <s v="WALK IN"/>
    <x v="0"/>
    <d v="2023-06-06T00:00:00"/>
    <x v="1"/>
    <n v="100"/>
    <n v="99000"/>
    <m/>
    <m/>
    <n v="100"/>
    <n v="9900000"/>
  </r>
  <r>
    <s v="WALK IN"/>
    <x v="1"/>
    <d v="2023-06-06T00:00:00"/>
    <x v="1"/>
    <n v="5"/>
    <n v="99000"/>
    <m/>
    <m/>
    <n v="5"/>
    <n v="495000"/>
  </r>
  <r>
    <s v="WALK IN"/>
    <x v="0"/>
    <d v="2023-06-07T00:00:00"/>
    <x v="1"/>
    <n v="122"/>
    <n v="99000"/>
    <m/>
    <m/>
    <n v="122"/>
    <n v="12078000"/>
  </r>
  <r>
    <s v="WALK IN"/>
    <x v="1"/>
    <d v="2023-06-07T00:00:00"/>
    <x v="1"/>
    <n v="11"/>
    <n v="99000"/>
    <m/>
    <m/>
    <n v="11"/>
    <n v="1089000"/>
  </r>
  <r>
    <s v="WALK IN"/>
    <x v="0"/>
    <d v="2023-06-08T00:00:00"/>
    <x v="1"/>
    <n v="89"/>
    <n v="99000"/>
    <m/>
    <m/>
    <n v="89"/>
    <n v="8811000"/>
  </r>
  <r>
    <s v="WALK IN"/>
    <x v="1"/>
    <d v="2023-06-08T00:00:00"/>
    <x v="1"/>
    <n v="26"/>
    <n v="99000"/>
    <m/>
    <m/>
    <n v="26"/>
    <n v="2574000"/>
  </r>
  <r>
    <s v="KERJASAMA MITRA"/>
    <x v="2"/>
    <d v="2023-06-08T00:00:00"/>
    <x v="1"/>
    <n v="2"/>
    <n v="150000"/>
    <m/>
    <m/>
    <n v="2"/>
    <n v="300000"/>
  </r>
  <r>
    <s v="WALK IN"/>
    <x v="0"/>
    <d v="2023-06-09T00:00:00"/>
    <x v="1"/>
    <n v="118"/>
    <n v="99000"/>
    <m/>
    <m/>
    <n v="118"/>
    <n v="11682000"/>
  </r>
  <r>
    <s v="WALK IN"/>
    <x v="1"/>
    <d v="2023-06-09T00:00:00"/>
    <x v="1"/>
    <n v="13"/>
    <n v="99000"/>
    <m/>
    <m/>
    <n v="13"/>
    <n v="1287000"/>
  </r>
  <r>
    <s v="KERJASAMA MITRA"/>
    <x v="2"/>
    <d v="2023-06-09T00:00:00"/>
    <x v="1"/>
    <n v="2"/>
    <n v="150000"/>
    <m/>
    <m/>
    <n v="2"/>
    <n v="300000"/>
  </r>
  <r>
    <s v="WALK IN"/>
    <x v="0"/>
    <d v="2023-06-10T00:00:00"/>
    <x v="1"/>
    <n v="104"/>
    <n v="99000"/>
    <m/>
    <m/>
    <n v="104"/>
    <n v="10296000"/>
  </r>
  <r>
    <s v="WALK IN"/>
    <x v="1"/>
    <d v="2023-06-10T00:00:00"/>
    <x v="1"/>
    <n v="34"/>
    <n v="99000"/>
    <m/>
    <m/>
    <n v="34"/>
    <n v="3366000"/>
  </r>
  <r>
    <s v="KERJASAMA MITRA"/>
    <x v="2"/>
    <d v="2023-06-10T00:00:00"/>
    <x v="1"/>
    <n v="1"/>
    <n v="150000"/>
    <m/>
    <m/>
    <n v="1"/>
    <n v="150000"/>
  </r>
  <r>
    <s v="WALK IN"/>
    <x v="0"/>
    <d v="2023-06-11T00:00:00"/>
    <x v="1"/>
    <n v="93"/>
    <n v="99000"/>
    <m/>
    <m/>
    <n v="93"/>
    <n v="9207000"/>
  </r>
  <r>
    <s v="WALK IN"/>
    <x v="1"/>
    <d v="2023-06-11T00:00:00"/>
    <x v="1"/>
    <n v="20"/>
    <n v="99000"/>
    <m/>
    <m/>
    <n v="20"/>
    <n v="1980000"/>
  </r>
  <r>
    <s v="KERJASAMA MITRA"/>
    <x v="2"/>
    <d v="2023-06-11T00:00:00"/>
    <x v="1"/>
    <n v="2"/>
    <n v="150000"/>
    <m/>
    <m/>
    <n v="2"/>
    <n v="300000"/>
  </r>
  <r>
    <s v="WALK IN"/>
    <x v="0"/>
    <d v="2023-06-12T00:00:00"/>
    <x v="1"/>
    <n v="114"/>
    <n v="99000"/>
    <m/>
    <m/>
    <n v="114"/>
    <n v="11286000"/>
  </r>
  <r>
    <s v="WALK IN"/>
    <x v="1"/>
    <d v="2023-06-12T00:00:00"/>
    <x v="1"/>
    <n v="10"/>
    <n v="99000"/>
    <m/>
    <m/>
    <n v="10"/>
    <n v="990000"/>
  </r>
  <r>
    <s v="KERJASAMA MITRA"/>
    <x v="2"/>
    <d v="2023-06-12T00:00:00"/>
    <x v="1"/>
    <n v="3"/>
    <n v="150000"/>
    <m/>
    <m/>
    <n v="3"/>
    <n v="450000"/>
  </r>
  <r>
    <s v="WALK IN"/>
    <x v="0"/>
    <d v="2023-06-13T00:00:00"/>
    <x v="1"/>
    <n v="92"/>
    <n v="99000"/>
    <m/>
    <m/>
    <n v="92"/>
    <n v="9108000"/>
  </r>
  <r>
    <s v="WALK IN"/>
    <x v="1"/>
    <d v="2023-06-13T00:00:00"/>
    <x v="1"/>
    <n v="15"/>
    <n v="99000"/>
    <m/>
    <m/>
    <n v="15"/>
    <n v="1485000"/>
  </r>
  <r>
    <s v="KERJASAMA MITRA"/>
    <x v="2"/>
    <d v="2023-06-13T00:00:00"/>
    <x v="1"/>
    <n v="3"/>
    <n v="150000"/>
    <m/>
    <m/>
    <n v="3"/>
    <n v="450000"/>
  </r>
  <r>
    <s v="WALK IN"/>
    <x v="0"/>
    <d v="2023-06-14T00:00:00"/>
    <x v="1"/>
    <n v="142"/>
    <n v="99000"/>
    <m/>
    <m/>
    <n v="142"/>
    <n v="14058000"/>
  </r>
  <r>
    <s v="WALK IN"/>
    <x v="1"/>
    <d v="2023-06-14T00:00:00"/>
    <x v="1"/>
    <n v="8"/>
    <n v="99000"/>
    <m/>
    <m/>
    <n v="8"/>
    <n v="792000"/>
  </r>
  <r>
    <s v="KERJASAMA MITRA"/>
    <x v="2"/>
    <d v="2023-06-14T00:00:00"/>
    <x v="1"/>
    <n v="4"/>
    <n v="150000"/>
    <m/>
    <m/>
    <n v="4"/>
    <n v="600000"/>
  </r>
  <r>
    <s v="WALK IN"/>
    <x v="0"/>
    <d v="2023-06-15T00:00:00"/>
    <x v="1"/>
    <n v="135"/>
    <n v="99000"/>
    <m/>
    <m/>
    <n v="135"/>
    <n v="13365000"/>
  </r>
  <r>
    <s v="WALK IN"/>
    <x v="1"/>
    <d v="2023-06-15T00:00:00"/>
    <x v="1"/>
    <n v="39"/>
    <n v="99000"/>
    <m/>
    <m/>
    <n v="39"/>
    <n v="3861000"/>
  </r>
  <r>
    <s v="KERJASAMA MITRA"/>
    <x v="2"/>
    <d v="2023-06-15T00:00:00"/>
    <x v="1"/>
    <n v="2"/>
    <n v="150000"/>
    <m/>
    <m/>
    <n v="2"/>
    <n v="300000"/>
  </r>
  <r>
    <s v="WALK IN"/>
    <x v="0"/>
    <d v="2023-06-16T00:00:00"/>
    <x v="1"/>
    <n v="171"/>
    <n v="99000"/>
    <m/>
    <m/>
    <n v="171"/>
    <n v="16929000"/>
  </r>
  <r>
    <s v="WALK IN"/>
    <x v="1"/>
    <d v="2023-06-16T00:00:00"/>
    <x v="1"/>
    <n v="31"/>
    <n v="99000"/>
    <m/>
    <m/>
    <n v="31"/>
    <n v="3069000"/>
  </r>
  <r>
    <s v="KERJASAMA MITRA"/>
    <x v="2"/>
    <d v="2023-06-16T00:00:00"/>
    <x v="1"/>
    <n v="1"/>
    <n v="150000"/>
    <m/>
    <m/>
    <n v="1"/>
    <n v="150000"/>
  </r>
  <r>
    <s v="WALK IN"/>
    <x v="0"/>
    <d v="2023-06-17T00:00:00"/>
    <x v="1"/>
    <n v="126"/>
    <n v="99000"/>
    <m/>
    <m/>
    <n v="126"/>
    <n v="12474000"/>
  </r>
  <r>
    <s v="WALK IN"/>
    <x v="1"/>
    <d v="2023-06-17T00:00:00"/>
    <x v="1"/>
    <n v="9"/>
    <n v="99000"/>
    <m/>
    <m/>
    <n v="9"/>
    <n v="891000"/>
  </r>
  <r>
    <s v="KERJASAMA MITRA"/>
    <x v="2"/>
    <d v="2023-06-17T00:00:00"/>
    <x v="1"/>
    <n v="1"/>
    <n v="150000"/>
    <m/>
    <m/>
    <n v="1"/>
    <n v="150000"/>
  </r>
  <r>
    <s v="WALK IN"/>
    <x v="0"/>
    <d v="2023-06-18T00:00:00"/>
    <x v="1"/>
    <n v="119"/>
    <n v="99000"/>
    <m/>
    <m/>
    <n v="119"/>
    <n v="11781000"/>
  </r>
  <r>
    <s v="WALK IN"/>
    <x v="1"/>
    <d v="2023-06-18T00:00:00"/>
    <x v="1"/>
    <n v="30"/>
    <n v="99000"/>
    <m/>
    <m/>
    <n v="30"/>
    <n v="2970000"/>
  </r>
  <r>
    <s v="WALK IN"/>
    <x v="0"/>
    <d v="2023-06-19T00:00:00"/>
    <x v="1"/>
    <n v="73"/>
    <n v="99000"/>
    <m/>
    <m/>
    <n v="73"/>
    <n v="7227000"/>
  </r>
  <r>
    <s v="WALK IN"/>
    <x v="1"/>
    <d v="2023-06-19T00:00:00"/>
    <x v="1"/>
    <n v="29"/>
    <n v="99000"/>
    <m/>
    <m/>
    <n v="29"/>
    <n v="2871000"/>
  </r>
  <r>
    <s v="KERJASAMA MITRA"/>
    <x v="2"/>
    <d v="2023-06-19T00:00:00"/>
    <x v="1"/>
    <n v="1"/>
    <n v="150000"/>
    <m/>
    <m/>
    <n v="1"/>
    <n v="150000"/>
  </r>
  <r>
    <s v="WALK IN"/>
    <x v="0"/>
    <d v="2023-06-20T00:00:00"/>
    <x v="1"/>
    <n v="87"/>
    <n v="99000"/>
    <m/>
    <m/>
    <n v="87"/>
    <n v="8613000"/>
  </r>
  <r>
    <s v="WALK IN"/>
    <x v="1"/>
    <d v="2023-06-20T00:00:00"/>
    <x v="1"/>
    <n v="52"/>
    <n v="99000"/>
    <m/>
    <m/>
    <n v="52"/>
    <n v="5148000"/>
  </r>
  <r>
    <s v="KERJASAMA MITRA"/>
    <x v="2"/>
    <d v="2023-06-20T00:00:00"/>
    <x v="1"/>
    <n v="1"/>
    <n v="150000"/>
    <m/>
    <m/>
    <n v="1"/>
    <n v="150000"/>
  </r>
  <r>
    <s v="WALK IN"/>
    <x v="0"/>
    <d v="2023-06-21T00:00:00"/>
    <x v="1"/>
    <n v="164"/>
    <n v="99000"/>
    <m/>
    <m/>
    <n v="164"/>
    <n v="16236000"/>
  </r>
  <r>
    <s v="WALK IN"/>
    <x v="1"/>
    <d v="2023-06-21T00:00:00"/>
    <x v="1"/>
    <n v="42"/>
    <n v="99000"/>
    <m/>
    <m/>
    <n v="42"/>
    <n v="4158000"/>
  </r>
  <r>
    <s v="WALK IN"/>
    <x v="0"/>
    <d v="2023-06-22T00:00:00"/>
    <x v="1"/>
    <n v="120"/>
    <n v="99000"/>
    <m/>
    <m/>
    <n v="120"/>
    <n v="11880000"/>
  </r>
  <r>
    <s v="WALK IN"/>
    <x v="1"/>
    <d v="2023-06-22T00:00:00"/>
    <x v="1"/>
    <n v="34"/>
    <n v="99000"/>
    <m/>
    <m/>
    <n v="34"/>
    <n v="3366000"/>
  </r>
  <r>
    <s v="KERJASAMA MITRA"/>
    <x v="2"/>
    <d v="2023-06-22T00:00:00"/>
    <x v="1"/>
    <n v="3"/>
    <n v="150000"/>
    <m/>
    <m/>
    <n v="3"/>
    <n v="450000"/>
  </r>
  <r>
    <s v="WALK IN"/>
    <x v="0"/>
    <d v="2023-06-23T00:00:00"/>
    <x v="1"/>
    <n v="142"/>
    <n v="99000"/>
    <m/>
    <m/>
    <n v="142"/>
    <n v="14058000"/>
  </r>
  <r>
    <s v="WALK IN"/>
    <x v="1"/>
    <d v="2023-06-23T00:00:00"/>
    <x v="1"/>
    <n v="37"/>
    <n v="99000"/>
    <m/>
    <m/>
    <n v="37"/>
    <n v="3663000"/>
  </r>
  <r>
    <s v="KERJASAMA MITRA"/>
    <x v="2"/>
    <d v="2023-06-23T00:00:00"/>
    <x v="1"/>
    <n v="7"/>
    <n v="150000"/>
    <m/>
    <m/>
    <n v="7"/>
    <n v="1050000"/>
  </r>
  <r>
    <s v="WALK IN"/>
    <x v="0"/>
    <d v="2023-06-24T00:00:00"/>
    <x v="1"/>
    <n v="145"/>
    <n v="99000"/>
    <m/>
    <m/>
    <n v="145"/>
    <n v="14355000"/>
  </r>
  <r>
    <s v="WALK IN"/>
    <x v="1"/>
    <d v="2023-06-24T00:00:00"/>
    <x v="1"/>
    <n v="12"/>
    <n v="99000"/>
    <m/>
    <m/>
    <n v="12"/>
    <n v="1188000"/>
  </r>
  <r>
    <s v="KERJASAMA MITRA"/>
    <x v="2"/>
    <d v="2023-06-24T00:00:00"/>
    <x v="1"/>
    <n v="1"/>
    <n v="150000"/>
    <m/>
    <m/>
    <n v="1"/>
    <n v="150000"/>
  </r>
  <r>
    <s v="WALK IN"/>
    <x v="0"/>
    <d v="2023-06-25T00:00:00"/>
    <x v="1"/>
    <n v="114"/>
    <n v="99000"/>
    <m/>
    <m/>
    <n v="114"/>
    <n v="11286000"/>
  </r>
  <r>
    <s v="WALK IN"/>
    <x v="1"/>
    <d v="2023-06-25T00:00:00"/>
    <x v="1"/>
    <n v="8"/>
    <n v="99000"/>
    <m/>
    <m/>
    <n v="8"/>
    <n v="792000"/>
  </r>
  <r>
    <s v="KERJASAMA MITRA"/>
    <x v="2"/>
    <d v="2023-06-25T00:00:00"/>
    <x v="1"/>
    <n v="2"/>
    <n v="150000"/>
    <m/>
    <m/>
    <n v="2"/>
    <n v="300000"/>
  </r>
  <r>
    <s v="WALK IN"/>
    <x v="0"/>
    <d v="2023-06-26T00:00:00"/>
    <x v="1"/>
    <n v="131"/>
    <n v="99000"/>
    <m/>
    <m/>
    <n v="131"/>
    <n v="12969000"/>
  </r>
  <r>
    <s v="WALK IN"/>
    <x v="1"/>
    <d v="2023-06-26T00:00:00"/>
    <x v="1"/>
    <n v="10"/>
    <n v="99000"/>
    <m/>
    <m/>
    <n v="10"/>
    <n v="990000"/>
  </r>
  <r>
    <s v="KERJASAMA MITRA"/>
    <x v="2"/>
    <d v="2023-06-26T00:00:00"/>
    <x v="1"/>
    <n v="6"/>
    <n v="150000"/>
    <m/>
    <m/>
    <n v="6"/>
    <n v="900000"/>
  </r>
  <r>
    <s v="WALK IN"/>
    <x v="0"/>
    <d v="2023-06-27T00:00:00"/>
    <x v="1"/>
    <n v="101"/>
    <n v="99000"/>
    <m/>
    <m/>
    <n v="101"/>
    <n v="9999000"/>
  </r>
  <r>
    <s v="WALK IN"/>
    <x v="1"/>
    <d v="2023-06-27T00:00:00"/>
    <x v="1"/>
    <n v="29"/>
    <n v="99000"/>
    <m/>
    <m/>
    <n v="29"/>
    <n v="2871000"/>
  </r>
  <r>
    <s v="WALK IN"/>
    <x v="0"/>
    <d v="2023-06-28T00:00:00"/>
    <x v="1"/>
    <n v="166"/>
    <n v="99000"/>
    <m/>
    <m/>
    <n v="166"/>
    <n v="16434000"/>
  </r>
  <r>
    <s v="WALK IN"/>
    <x v="1"/>
    <d v="2023-06-28T00:00:00"/>
    <x v="1"/>
    <n v="30"/>
    <n v="99000"/>
    <m/>
    <m/>
    <n v="30"/>
    <n v="2970000"/>
  </r>
  <r>
    <s v="KERJASAMA MITRA"/>
    <x v="2"/>
    <d v="2023-06-28T00:00:00"/>
    <x v="1"/>
    <n v="1"/>
    <n v="150000"/>
    <m/>
    <m/>
    <n v="1"/>
    <n v="150000"/>
  </r>
  <r>
    <s v="WALK IN"/>
    <x v="0"/>
    <d v="2023-06-29T00:00:00"/>
    <x v="1"/>
    <n v="225"/>
    <n v="99000"/>
    <m/>
    <m/>
    <n v="225"/>
    <n v="22275000"/>
  </r>
  <r>
    <s v="WALK IN"/>
    <x v="1"/>
    <d v="2023-06-29T00:00:00"/>
    <x v="1"/>
    <n v="77"/>
    <n v="99000"/>
    <m/>
    <m/>
    <n v="77"/>
    <n v="7623000"/>
  </r>
  <r>
    <s v="WALK IN"/>
    <x v="0"/>
    <d v="2023-06-30T00:00:00"/>
    <x v="1"/>
    <n v="108"/>
    <n v="99000"/>
    <m/>
    <m/>
    <n v="108"/>
    <n v="10692000"/>
  </r>
  <r>
    <s v="WALK IN"/>
    <x v="1"/>
    <d v="2023-06-30T00:00:00"/>
    <x v="1"/>
    <n v="45"/>
    <n v="99000"/>
    <m/>
    <m/>
    <n v="45"/>
    <n v="4455000"/>
  </r>
  <r>
    <s v="KERJASAMA MITRA"/>
    <x v="2"/>
    <d v="2023-06-30T00:00:00"/>
    <x v="1"/>
    <n v="1"/>
    <n v="150000"/>
    <m/>
    <m/>
    <n v="1"/>
    <n v="150000"/>
  </r>
  <r>
    <s v="WALK IN"/>
    <x v="0"/>
    <d v="2023-07-01T00:00:00"/>
    <x v="2"/>
    <n v="132"/>
    <n v="99000"/>
    <m/>
    <m/>
    <n v="132"/>
    <n v="13068000"/>
  </r>
  <r>
    <s v="WALK IN"/>
    <x v="1"/>
    <d v="2023-07-01T00:00:00"/>
    <x v="2"/>
    <n v="9"/>
    <n v="99000"/>
    <m/>
    <m/>
    <n v="9"/>
    <n v="891000"/>
  </r>
  <r>
    <s v="KERJASAMA MITRA"/>
    <x v="2"/>
    <d v="2023-07-01T00:00:00"/>
    <x v="2"/>
    <n v="2"/>
    <n v="150000"/>
    <m/>
    <m/>
    <n v="2"/>
    <n v="300000"/>
  </r>
  <r>
    <s v="WALK IN"/>
    <x v="0"/>
    <d v="2023-07-02T00:00:00"/>
    <x v="2"/>
    <n v="180"/>
    <n v="99000"/>
    <m/>
    <m/>
    <n v="180"/>
    <n v="17820000"/>
  </r>
  <r>
    <s v="WALK IN"/>
    <x v="1"/>
    <d v="2023-07-02T00:00:00"/>
    <x v="2"/>
    <n v="23"/>
    <n v="99000"/>
    <m/>
    <m/>
    <n v="23"/>
    <n v="2277000"/>
  </r>
  <r>
    <s v="KERJASAMA MITRA"/>
    <x v="2"/>
    <d v="2023-07-02T00:00:00"/>
    <x v="2"/>
    <n v="2"/>
    <n v="150000"/>
    <m/>
    <m/>
    <n v="2"/>
    <n v="300000"/>
  </r>
  <r>
    <s v="WALK IN"/>
    <x v="0"/>
    <d v="2023-07-03T00:00:00"/>
    <x v="2"/>
    <n v="101"/>
    <n v="99000"/>
    <m/>
    <m/>
    <n v="101"/>
    <n v="9999000"/>
  </r>
  <r>
    <s v="WALK IN"/>
    <x v="1"/>
    <d v="2023-07-03T00:00:00"/>
    <x v="2"/>
    <n v="7"/>
    <n v="99000"/>
    <m/>
    <m/>
    <n v="7"/>
    <n v="693000"/>
  </r>
  <r>
    <s v="WALK IN"/>
    <x v="0"/>
    <d v="2023-07-04T00:00:00"/>
    <x v="2"/>
    <n v="80"/>
    <n v="99000"/>
    <m/>
    <m/>
    <n v="80"/>
    <n v="7920000"/>
  </r>
  <r>
    <s v="WALK IN"/>
    <x v="1"/>
    <d v="2023-07-04T00:00:00"/>
    <x v="2"/>
    <n v="21"/>
    <n v="99000"/>
    <m/>
    <m/>
    <n v="21"/>
    <n v="2079000"/>
  </r>
  <r>
    <s v="WALK IN"/>
    <x v="0"/>
    <d v="2023-07-05T00:00:00"/>
    <x v="2"/>
    <n v="101"/>
    <n v="99000"/>
    <m/>
    <m/>
    <n v="101"/>
    <n v="9999000"/>
  </r>
  <r>
    <s v="WALK IN"/>
    <x v="1"/>
    <d v="2023-07-05T00:00:00"/>
    <x v="2"/>
    <n v="34"/>
    <n v="99000"/>
    <m/>
    <m/>
    <n v="34"/>
    <n v="3366000"/>
  </r>
  <r>
    <s v="KERJASAMA MITRA"/>
    <x v="2"/>
    <d v="2023-07-05T00:00:00"/>
    <x v="2"/>
    <n v="1"/>
    <n v="150000"/>
    <m/>
    <m/>
    <n v="1"/>
    <n v="150000"/>
  </r>
  <r>
    <s v="WALK IN"/>
    <x v="0"/>
    <d v="2023-07-06T00:00:00"/>
    <x v="2"/>
    <n v="78"/>
    <n v="120000"/>
    <m/>
    <m/>
    <n v="78"/>
    <n v="9360000"/>
  </r>
  <r>
    <s v="WALK IN"/>
    <x v="1"/>
    <d v="2023-07-06T00:00:00"/>
    <x v="2"/>
    <n v="23"/>
    <n v="120000"/>
    <m/>
    <m/>
    <n v="23"/>
    <n v="2760000"/>
  </r>
  <r>
    <s v="KERJASAMA MITRA"/>
    <x v="2"/>
    <d v="2023-07-06T00:00:00"/>
    <x v="2"/>
    <n v="5"/>
    <n v="150000"/>
    <m/>
    <m/>
    <n v="5"/>
    <n v="750000"/>
  </r>
  <r>
    <s v="WALK IN"/>
    <x v="0"/>
    <d v="2023-07-07T00:00:00"/>
    <x v="2"/>
    <n v="112"/>
    <n v="120000"/>
    <m/>
    <m/>
    <n v="112"/>
    <n v="13440000"/>
  </r>
  <r>
    <s v="WALK IN"/>
    <x v="1"/>
    <d v="2023-07-07T00:00:00"/>
    <x v="2"/>
    <n v="26"/>
    <n v="120000"/>
    <m/>
    <m/>
    <n v="26"/>
    <n v="3120000"/>
  </r>
  <r>
    <s v="KERJASAMA MITRA"/>
    <x v="2"/>
    <d v="2023-07-07T00:00:00"/>
    <x v="2"/>
    <n v="3"/>
    <n v="150000"/>
    <m/>
    <m/>
    <n v="3"/>
    <n v="450000"/>
  </r>
  <r>
    <s v="WALK IN"/>
    <x v="0"/>
    <d v="2023-07-08T00:00:00"/>
    <x v="2"/>
    <n v="102"/>
    <n v="120000"/>
    <m/>
    <m/>
    <n v="102"/>
    <n v="12240000"/>
  </r>
  <r>
    <s v="WALK IN"/>
    <x v="1"/>
    <d v="2023-07-08T00:00:00"/>
    <x v="2"/>
    <n v="7"/>
    <n v="120000"/>
    <m/>
    <m/>
    <n v="7"/>
    <n v="840000"/>
  </r>
  <r>
    <s v="KERJASAMA MITRA"/>
    <x v="2"/>
    <d v="2023-07-08T00:00:00"/>
    <x v="2"/>
    <n v="2"/>
    <n v="150000"/>
    <m/>
    <m/>
    <n v="2"/>
    <n v="300000"/>
  </r>
  <r>
    <s v="WALK IN"/>
    <x v="0"/>
    <d v="2023-07-09T00:00:00"/>
    <x v="2"/>
    <n v="110"/>
    <n v="120000"/>
    <m/>
    <m/>
    <n v="110"/>
    <n v="13200000"/>
  </r>
  <r>
    <s v="WALK IN"/>
    <x v="1"/>
    <d v="2023-07-09T00:00:00"/>
    <x v="2"/>
    <n v="29"/>
    <n v="120000"/>
    <m/>
    <m/>
    <n v="29"/>
    <n v="3480000"/>
  </r>
  <r>
    <s v="KERJASAMA MITRA"/>
    <x v="2"/>
    <d v="2023-07-09T00:00:00"/>
    <x v="2"/>
    <n v="1"/>
    <n v="150000"/>
    <m/>
    <m/>
    <n v="1"/>
    <n v="150000"/>
  </r>
  <r>
    <s v="WALK IN"/>
    <x v="0"/>
    <d v="2023-07-10T00:00:00"/>
    <x v="2"/>
    <n v="75"/>
    <n v="120000"/>
    <m/>
    <m/>
    <n v="75"/>
    <n v="9000000"/>
  </r>
  <r>
    <s v="WALK IN"/>
    <x v="1"/>
    <d v="2023-07-10T00:00:00"/>
    <x v="2"/>
    <n v="24"/>
    <n v="120000"/>
    <m/>
    <m/>
    <n v="24"/>
    <n v="2880000"/>
  </r>
  <r>
    <s v="KERJASAMA MITRA"/>
    <x v="2"/>
    <d v="2023-07-10T00:00:00"/>
    <x v="2"/>
    <n v="5"/>
    <n v="150000"/>
    <m/>
    <m/>
    <n v="5"/>
    <n v="750000"/>
  </r>
  <r>
    <s v="WALK IN"/>
    <x v="0"/>
    <d v="2023-07-11T00:00:00"/>
    <x v="2"/>
    <n v="92"/>
    <n v="120000"/>
    <m/>
    <m/>
    <n v="92"/>
    <n v="11040000"/>
  </r>
  <r>
    <s v="WALK IN"/>
    <x v="1"/>
    <d v="2023-07-11T00:00:00"/>
    <x v="2"/>
    <n v="12"/>
    <n v="120000"/>
    <m/>
    <m/>
    <n v="12"/>
    <n v="1440000"/>
  </r>
  <r>
    <s v="KERJASAMA MITRA"/>
    <x v="2"/>
    <d v="2023-07-11T00:00:00"/>
    <x v="2"/>
    <n v="5"/>
    <n v="150000"/>
    <m/>
    <m/>
    <n v="5"/>
    <n v="750000"/>
  </r>
  <r>
    <s v="WALK IN"/>
    <x v="0"/>
    <d v="2023-07-12T00:00:00"/>
    <x v="2"/>
    <n v="104"/>
    <n v="120000"/>
    <m/>
    <m/>
    <n v="104"/>
    <n v="12480000"/>
  </r>
  <r>
    <s v="WALK IN"/>
    <x v="1"/>
    <d v="2023-07-12T00:00:00"/>
    <x v="2"/>
    <n v="17"/>
    <n v="120000"/>
    <m/>
    <m/>
    <n v="17"/>
    <n v="2040000"/>
  </r>
  <r>
    <s v="WALK IN"/>
    <x v="0"/>
    <d v="2023-07-13T00:00:00"/>
    <x v="2"/>
    <n v="118"/>
    <n v="120000"/>
    <m/>
    <m/>
    <n v="118"/>
    <n v="14160000"/>
  </r>
  <r>
    <s v="WALK IN"/>
    <x v="1"/>
    <d v="2023-07-13T00:00:00"/>
    <x v="2"/>
    <n v="20"/>
    <n v="120000"/>
    <m/>
    <m/>
    <n v="20"/>
    <n v="2400000"/>
  </r>
  <r>
    <s v="KERJASAMA MITRA"/>
    <x v="2"/>
    <d v="2023-07-13T00:00:00"/>
    <x v="2"/>
    <n v="3"/>
    <n v="150000"/>
    <m/>
    <m/>
    <n v="3"/>
    <n v="450000"/>
  </r>
  <r>
    <s v="WALK IN"/>
    <x v="0"/>
    <d v="2023-07-14T00:00:00"/>
    <x v="2"/>
    <n v="160"/>
    <n v="120000"/>
    <m/>
    <m/>
    <n v="160"/>
    <n v="19200000"/>
  </r>
  <r>
    <s v="WALK IN"/>
    <x v="1"/>
    <d v="2023-07-14T00:00:00"/>
    <x v="2"/>
    <n v="12"/>
    <n v="120000"/>
    <m/>
    <m/>
    <n v="12"/>
    <n v="1440000"/>
  </r>
  <r>
    <s v="KERJASAMA MITRA"/>
    <x v="2"/>
    <d v="2023-07-14T00:00:00"/>
    <x v="2"/>
    <n v="3"/>
    <n v="150000"/>
    <m/>
    <m/>
    <n v="3"/>
    <n v="450000"/>
  </r>
  <r>
    <s v="WALK IN"/>
    <x v="0"/>
    <d v="2023-07-15T00:00:00"/>
    <x v="2"/>
    <n v="108"/>
    <n v="120000"/>
    <m/>
    <m/>
    <n v="108"/>
    <n v="12960000"/>
  </r>
  <r>
    <s v="WALK IN"/>
    <x v="1"/>
    <d v="2023-07-15T00:00:00"/>
    <x v="2"/>
    <n v="2"/>
    <n v="120000"/>
    <m/>
    <m/>
    <n v="2"/>
    <n v="240000"/>
  </r>
  <r>
    <s v="WALK IN"/>
    <x v="0"/>
    <d v="2023-07-16T00:00:00"/>
    <x v="2"/>
    <n v="101"/>
    <n v="120000"/>
    <m/>
    <m/>
    <n v="101"/>
    <n v="12120000"/>
  </r>
  <r>
    <s v="WALK IN"/>
    <x v="1"/>
    <d v="2023-07-16T00:00:00"/>
    <x v="2"/>
    <n v="4"/>
    <n v="120000"/>
    <m/>
    <m/>
    <n v="4"/>
    <n v="480000"/>
  </r>
  <r>
    <s v="KERJASAMA MITRA"/>
    <x v="2"/>
    <d v="2023-07-16T00:00:00"/>
    <x v="2"/>
    <n v="4"/>
    <n v="150000"/>
    <m/>
    <m/>
    <n v="4"/>
    <n v="600000"/>
  </r>
  <r>
    <s v="WALK IN"/>
    <x v="0"/>
    <d v="2023-07-17T00:00:00"/>
    <x v="2"/>
    <n v="113"/>
    <n v="120000"/>
    <m/>
    <m/>
    <n v="113"/>
    <n v="13560000"/>
  </r>
  <r>
    <s v="WALK IN"/>
    <x v="1"/>
    <d v="2023-07-17T00:00:00"/>
    <x v="2"/>
    <n v="15"/>
    <n v="120000"/>
    <m/>
    <m/>
    <n v="15"/>
    <n v="1800000"/>
  </r>
  <r>
    <s v="KERJASAMA MITRA"/>
    <x v="2"/>
    <d v="2023-07-17T00:00:00"/>
    <x v="2"/>
    <n v="2"/>
    <n v="150000"/>
    <m/>
    <m/>
    <n v="2"/>
    <n v="300000"/>
  </r>
  <r>
    <s v="KERJASAMA MITRA"/>
    <x v="3"/>
    <d v="2023-07-17T00:00:00"/>
    <x v="2"/>
    <n v="2"/>
    <n v="130000"/>
    <m/>
    <m/>
    <n v="2"/>
    <n v="260000"/>
  </r>
  <r>
    <s v="WALK IN"/>
    <x v="0"/>
    <d v="2023-07-18T00:00:00"/>
    <x v="2"/>
    <n v="91"/>
    <n v="120000"/>
    <m/>
    <m/>
    <n v="91"/>
    <n v="10920000"/>
  </r>
  <r>
    <s v="WALK IN"/>
    <x v="1"/>
    <d v="2023-07-18T00:00:00"/>
    <x v="2"/>
    <n v="10"/>
    <n v="120000"/>
    <m/>
    <m/>
    <n v="10"/>
    <n v="1200000"/>
  </r>
  <r>
    <s v="KERJASAMA MITRA"/>
    <x v="2"/>
    <d v="2023-07-18T00:00:00"/>
    <x v="2"/>
    <n v="1"/>
    <n v="150000"/>
    <m/>
    <m/>
    <n v="1"/>
    <n v="150000"/>
  </r>
  <r>
    <s v="KERJASAMA MITRA"/>
    <x v="3"/>
    <d v="2023-07-18T00:00:00"/>
    <x v="2"/>
    <n v="2"/>
    <n v="130000"/>
    <m/>
    <m/>
    <n v="2"/>
    <n v="260000"/>
  </r>
  <r>
    <s v="KERJASAMA MITRA"/>
    <x v="4"/>
    <d v="2023-07-18T00:00:00"/>
    <x v="2"/>
    <n v="11"/>
    <n v="130000"/>
    <m/>
    <m/>
    <n v="11"/>
    <n v="1430000"/>
  </r>
  <r>
    <s v="WALK IN"/>
    <x v="0"/>
    <d v="2023-07-19T00:00:00"/>
    <x v="2"/>
    <n v="153"/>
    <n v="120000"/>
    <m/>
    <m/>
    <n v="153"/>
    <n v="18360000"/>
  </r>
  <r>
    <s v="WALK IN"/>
    <x v="1"/>
    <d v="2023-07-19T00:00:00"/>
    <x v="2"/>
    <n v="14"/>
    <n v="120000"/>
    <m/>
    <m/>
    <n v="14"/>
    <n v="1680000"/>
  </r>
  <r>
    <s v="KERJASAMA MITRA"/>
    <x v="2"/>
    <d v="2023-07-19T00:00:00"/>
    <x v="2"/>
    <n v="7"/>
    <n v="150000"/>
    <m/>
    <m/>
    <n v="7"/>
    <n v="1050000"/>
  </r>
  <r>
    <s v="KERJASAMA MITRA"/>
    <x v="3"/>
    <d v="2023-07-19T00:00:00"/>
    <x v="2"/>
    <n v="4"/>
    <n v="130000"/>
    <m/>
    <m/>
    <n v="4"/>
    <n v="520000"/>
  </r>
  <r>
    <s v="KERJASAMA MITRA"/>
    <x v="4"/>
    <d v="2023-07-19T00:00:00"/>
    <x v="2"/>
    <n v="4"/>
    <n v="130000"/>
    <m/>
    <m/>
    <n v="4"/>
    <n v="520000"/>
  </r>
  <r>
    <s v="WALK IN"/>
    <x v="0"/>
    <d v="2023-07-20T00:00:00"/>
    <x v="2"/>
    <n v="80"/>
    <n v="120000"/>
    <m/>
    <m/>
    <n v="80"/>
    <n v="9600000"/>
  </r>
  <r>
    <s v="WALK IN"/>
    <x v="1"/>
    <d v="2023-07-20T00:00:00"/>
    <x v="2"/>
    <n v="12"/>
    <n v="120000"/>
    <m/>
    <m/>
    <n v="12"/>
    <n v="1440000"/>
  </r>
  <r>
    <s v="KERJASAMA MITRA"/>
    <x v="3"/>
    <d v="2023-07-20T00:00:00"/>
    <x v="2"/>
    <n v="2"/>
    <n v="130000"/>
    <m/>
    <m/>
    <n v="2"/>
    <n v="260000"/>
  </r>
  <r>
    <s v="WALK IN"/>
    <x v="0"/>
    <d v="2023-07-21T00:00:00"/>
    <x v="2"/>
    <n v="113"/>
    <n v="120000"/>
    <m/>
    <m/>
    <n v="113"/>
    <n v="13560000"/>
  </r>
  <r>
    <s v="WALK IN"/>
    <x v="1"/>
    <d v="2023-07-21T00:00:00"/>
    <x v="2"/>
    <n v="13"/>
    <n v="120000"/>
    <m/>
    <m/>
    <n v="13"/>
    <n v="1560000"/>
  </r>
  <r>
    <s v="KERJASAMA MITRA"/>
    <x v="2"/>
    <d v="2023-07-21T00:00:00"/>
    <x v="2"/>
    <n v="5"/>
    <n v="150000"/>
    <m/>
    <m/>
    <n v="5"/>
    <n v="750000"/>
  </r>
  <r>
    <s v="KERJASAMA MITRA"/>
    <x v="3"/>
    <d v="2023-07-21T00:00:00"/>
    <x v="2"/>
    <n v="1"/>
    <n v="130000"/>
    <m/>
    <m/>
    <n v="1"/>
    <n v="130000"/>
  </r>
  <r>
    <s v="KERJASAMA MITRA"/>
    <x v="4"/>
    <d v="2023-07-21T00:00:00"/>
    <x v="2"/>
    <n v="2"/>
    <n v="130000"/>
    <m/>
    <m/>
    <n v="2"/>
    <n v="260000"/>
  </r>
  <r>
    <s v="WALK IN"/>
    <x v="0"/>
    <d v="2023-07-22T00:00:00"/>
    <x v="2"/>
    <n v="103"/>
    <n v="120000"/>
    <m/>
    <m/>
    <n v="103"/>
    <n v="12360000"/>
  </r>
  <r>
    <s v="WALK IN"/>
    <x v="1"/>
    <d v="2023-07-22T00:00:00"/>
    <x v="2"/>
    <n v="8"/>
    <n v="120000"/>
    <m/>
    <m/>
    <n v="8"/>
    <n v="960000"/>
  </r>
  <r>
    <s v="KERJASAMA MITRA"/>
    <x v="2"/>
    <d v="2023-07-22T00:00:00"/>
    <x v="2"/>
    <n v="3"/>
    <n v="150000"/>
    <m/>
    <m/>
    <n v="3"/>
    <n v="450000"/>
  </r>
  <r>
    <s v="KERJASAMA MITRA"/>
    <x v="3"/>
    <d v="2023-07-22T00:00:00"/>
    <x v="2"/>
    <n v="4"/>
    <n v="130000"/>
    <m/>
    <m/>
    <n v="4"/>
    <n v="520000"/>
  </r>
  <r>
    <s v="KERJASAMA MITRA"/>
    <x v="4"/>
    <d v="2023-07-22T00:00:00"/>
    <x v="2"/>
    <n v="5"/>
    <n v="130000"/>
    <m/>
    <m/>
    <n v="5"/>
    <n v="650000"/>
  </r>
  <r>
    <s v="WALK IN"/>
    <x v="0"/>
    <d v="2023-07-23T00:00:00"/>
    <x v="2"/>
    <n v="88"/>
    <n v="120000"/>
    <m/>
    <m/>
    <n v="88"/>
    <n v="10560000"/>
  </r>
  <r>
    <s v="WALK IN"/>
    <x v="1"/>
    <d v="2023-07-23T00:00:00"/>
    <x v="2"/>
    <n v="37"/>
    <n v="120000"/>
    <m/>
    <m/>
    <n v="37"/>
    <n v="4440000"/>
  </r>
  <r>
    <s v="KERJASAMA MITRA"/>
    <x v="2"/>
    <d v="2023-07-23T00:00:00"/>
    <x v="2"/>
    <n v="1"/>
    <n v="150000"/>
    <m/>
    <m/>
    <n v="1"/>
    <n v="150000"/>
  </r>
  <r>
    <s v="KERJASAMA MITRA"/>
    <x v="3"/>
    <d v="2023-07-23T00:00:00"/>
    <x v="2"/>
    <n v="3"/>
    <n v="130000"/>
    <m/>
    <m/>
    <n v="3"/>
    <n v="390000"/>
  </r>
  <r>
    <s v="KERJASAMA MITRA"/>
    <x v="4"/>
    <d v="2023-07-23T00:00:00"/>
    <x v="2"/>
    <n v="5"/>
    <n v="130000"/>
    <m/>
    <m/>
    <n v="5"/>
    <n v="650000"/>
  </r>
  <r>
    <s v="WALK IN"/>
    <x v="0"/>
    <d v="2023-07-24T00:00:00"/>
    <x v="2"/>
    <n v="114"/>
    <n v="120000"/>
    <m/>
    <m/>
    <n v="114"/>
    <n v="13680000"/>
  </r>
  <r>
    <s v="WALK IN"/>
    <x v="1"/>
    <d v="2023-07-24T00:00:00"/>
    <x v="2"/>
    <n v="10"/>
    <n v="120000"/>
    <m/>
    <m/>
    <n v="10"/>
    <n v="1200000"/>
  </r>
  <r>
    <s v="KERJASAMA MITRA"/>
    <x v="2"/>
    <d v="2023-07-24T00:00:00"/>
    <x v="2"/>
    <n v="2"/>
    <n v="150000"/>
    <m/>
    <m/>
    <n v="2"/>
    <n v="300000"/>
  </r>
  <r>
    <s v="KERJASAMA MITRA"/>
    <x v="4"/>
    <d v="2023-07-24T00:00:00"/>
    <x v="2"/>
    <n v="2"/>
    <n v="130000"/>
    <m/>
    <m/>
    <n v="2"/>
    <n v="260000"/>
  </r>
  <r>
    <s v="WALK IN"/>
    <x v="0"/>
    <d v="2023-07-25T00:00:00"/>
    <x v="2"/>
    <n v="79"/>
    <n v="120000"/>
    <m/>
    <m/>
    <n v="79"/>
    <n v="9480000"/>
  </r>
  <r>
    <s v="WALK IN"/>
    <x v="1"/>
    <d v="2023-07-25T00:00:00"/>
    <x v="2"/>
    <n v="10"/>
    <n v="120000"/>
    <m/>
    <m/>
    <n v="10"/>
    <n v="1200000"/>
  </r>
  <r>
    <s v="KERJASAMA MITRA"/>
    <x v="2"/>
    <d v="2023-07-25T00:00:00"/>
    <x v="2"/>
    <n v="1"/>
    <n v="150000"/>
    <m/>
    <m/>
    <n v="1"/>
    <n v="150000"/>
  </r>
  <r>
    <s v="KERJASAMA MITRA"/>
    <x v="3"/>
    <d v="2023-07-25T00:00:00"/>
    <x v="2"/>
    <n v="4"/>
    <n v="130000"/>
    <m/>
    <m/>
    <n v="4"/>
    <n v="520000"/>
  </r>
  <r>
    <s v="KERJASAMA MITRA"/>
    <x v="4"/>
    <d v="2023-07-25T00:00:00"/>
    <x v="2"/>
    <n v="14"/>
    <n v="130000"/>
    <m/>
    <m/>
    <n v="14"/>
    <n v="1820000"/>
  </r>
  <r>
    <s v="WALK IN"/>
    <x v="0"/>
    <d v="2023-07-26T00:00:00"/>
    <x v="2"/>
    <n v="107"/>
    <n v="120000"/>
    <m/>
    <m/>
    <n v="107"/>
    <n v="12840000"/>
  </r>
  <r>
    <s v="WALK IN"/>
    <x v="1"/>
    <d v="2023-07-26T00:00:00"/>
    <x v="2"/>
    <n v="14"/>
    <n v="120000"/>
    <m/>
    <m/>
    <n v="14"/>
    <n v="1680000"/>
  </r>
  <r>
    <s v="KERJASAMA MITRA"/>
    <x v="2"/>
    <d v="2023-07-26T00:00:00"/>
    <x v="2"/>
    <n v="4"/>
    <n v="150000"/>
    <m/>
    <m/>
    <n v="4"/>
    <n v="600000"/>
  </r>
  <r>
    <s v="KERJASAMA MITRA"/>
    <x v="4"/>
    <d v="2023-07-26T00:00:00"/>
    <x v="2"/>
    <n v="5"/>
    <n v="130000"/>
    <m/>
    <m/>
    <n v="5"/>
    <n v="650000"/>
  </r>
  <r>
    <s v="WALK IN"/>
    <x v="0"/>
    <d v="2023-07-27T00:00:00"/>
    <x v="2"/>
    <n v="84"/>
    <n v="120000"/>
    <m/>
    <m/>
    <n v="84"/>
    <n v="10080000"/>
  </r>
  <r>
    <s v="WALK IN"/>
    <x v="1"/>
    <d v="2023-07-27T00:00:00"/>
    <x v="2"/>
    <n v="23"/>
    <n v="120000"/>
    <m/>
    <m/>
    <n v="23"/>
    <n v="2760000"/>
  </r>
  <r>
    <s v="KERJASAMA MITRA"/>
    <x v="2"/>
    <d v="2023-07-27T00:00:00"/>
    <x v="2"/>
    <n v="3"/>
    <n v="150000"/>
    <m/>
    <m/>
    <n v="3"/>
    <n v="450000"/>
  </r>
  <r>
    <s v="KERJASAMA MITRA"/>
    <x v="4"/>
    <d v="2023-07-27T00:00:00"/>
    <x v="2"/>
    <n v="4"/>
    <n v="130000"/>
    <m/>
    <m/>
    <n v="4"/>
    <n v="520000"/>
  </r>
  <r>
    <s v="WALK IN"/>
    <x v="0"/>
    <d v="2023-07-28T00:00:00"/>
    <x v="2"/>
    <n v="134"/>
    <n v="120000"/>
    <m/>
    <m/>
    <n v="134"/>
    <n v="16080000"/>
  </r>
  <r>
    <s v="WALK IN"/>
    <x v="1"/>
    <d v="2023-07-28T00:00:00"/>
    <x v="2"/>
    <n v="12"/>
    <n v="120000"/>
    <m/>
    <m/>
    <n v="12"/>
    <n v="1440000"/>
  </r>
  <r>
    <s v="KERJASAMA MITRA"/>
    <x v="2"/>
    <d v="2023-07-28T00:00:00"/>
    <x v="2"/>
    <n v="5"/>
    <n v="150000"/>
    <m/>
    <m/>
    <n v="5"/>
    <n v="750000"/>
  </r>
  <r>
    <s v="KERJASAMA MITRA"/>
    <x v="3"/>
    <d v="2023-07-28T00:00:00"/>
    <x v="2"/>
    <n v="2"/>
    <n v="130000"/>
    <m/>
    <m/>
    <n v="2"/>
    <n v="260000"/>
  </r>
  <r>
    <s v="KERJASAMA MITRA"/>
    <x v="4"/>
    <d v="2023-07-28T00:00:00"/>
    <x v="2"/>
    <n v="2"/>
    <n v="130000"/>
    <m/>
    <m/>
    <n v="2"/>
    <n v="260000"/>
  </r>
  <r>
    <s v="WALK IN"/>
    <x v="0"/>
    <d v="2023-07-29T00:00:00"/>
    <x v="2"/>
    <n v="84"/>
    <n v="120000"/>
    <m/>
    <m/>
    <n v="84"/>
    <n v="10080000"/>
  </r>
  <r>
    <s v="WALK IN"/>
    <x v="1"/>
    <d v="2023-07-29T00:00:00"/>
    <x v="2"/>
    <n v="29"/>
    <n v="120000"/>
    <m/>
    <m/>
    <n v="29"/>
    <n v="3480000"/>
  </r>
  <r>
    <s v="KERJASAMA MITRA"/>
    <x v="2"/>
    <d v="2023-07-29T00:00:00"/>
    <x v="2"/>
    <n v="9"/>
    <n v="150000"/>
    <m/>
    <m/>
    <n v="9"/>
    <n v="1350000"/>
  </r>
  <r>
    <s v="KERJASAMA MITRA"/>
    <x v="4"/>
    <d v="2023-07-29T00:00:00"/>
    <x v="2"/>
    <n v="1"/>
    <n v="130000"/>
    <m/>
    <m/>
    <n v="1"/>
    <n v="130000"/>
  </r>
  <r>
    <s v="WALK IN"/>
    <x v="0"/>
    <d v="2023-07-30T00:00:00"/>
    <x v="2"/>
    <n v="108"/>
    <n v="120000"/>
    <m/>
    <m/>
    <n v="108"/>
    <n v="12960000"/>
  </r>
  <r>
    <s v="WALK IN"/>
    <x v="1"/>
    <d v="2023-07-30T00:00:00"/>
    <x v="2"/>
    <n v="6"/>
    <n v="120000"/>
    <m/>
    <m/>
    <n v="6"/>
    <n v="720000"/>
  </r>
  <r>
    <s v="KERJASAMA MITRA"/>
    <x v="2"/>
    <d v="2023-07-30T00:00:00"/>
    <x v="2"/>
    <n v="6"/>
    <n v="150000"/>
    <m/>
    <m/>
    <n v="6"/>
    <n v="900000"/>
  </r>
  <r>
    <s v="KERJASAMA MITRA"/>
    <x v="4"/>
    <d v="2023-07-30T00:00:00"/>
    <x v="2"/>
    <n v="1"/>
    <n v="130000"/>
    <m/>
    <m/>
    <n v="1"/>
    <n v="130000"/>
  </r>
  <r>
    <s v="WALK IN"/>
    <x v="0"/>
    <d v="2023-07-31T00:00:00"/>
    <x v="2"/>
    <n v="81"/>
    <n v="120000"/>
    <m/>
    <m/>
    <n v="81"/>
    <n v="9720000"/>
  </r>
  <r>
    <s v="WALK IN"/>
    <x v="1"/>
    <d v="2023-07-31T00:00:00"/>
    <x v="2"/>
    <n v="5"/>
    <n v="120000"/>
    <m/>
    <m/>
    <n v="5"/>
    <n v="600000"/>
  </r>
  <r>
    <s v="KERJASAMA MITRA"/>
    <x v="2"/>
    <d v="2023-07-31T00:00:00"/>
    <x v="2"/>
    <n v="4"/>
    <n v="150000"/>
    <m/>
    <m/>
    <n v="4"/>
    <n v="600000"/>
  </r>
  <r>
    <s v="KERJASAMA MITRA"/>
    <x v="3"/>
    <d v="2023-07-31T00:00:00"/>
    <x v="2"/>
    <n v="3"/>
    <n v="130000"/>
    <m/>
    <m/>
    <n v="3"/>
    <n v="390000"/>
  </r>
  <r>
    <s v="KERJASAMA MITRA"/>
    <x v="4"/>
    <d v="2023-07-31T00:00:00"/>
    <x v="2"/>
    <n v="1"/>
    <n v="130000"/>
    <m/>
    <m/>
    <n v="1"/>
    <n v="130000"/>
  </r>
  <r>
    <s v="WALK IN"/>
    <x v="0"/>
    <d v="2023-08-01T00:00:00"/>
    <x v="3"/>
    <n v="32"/>
    <n v="120000"/>
    <m/>
    <m/>
    <n v="32"/>
    <n v="3840000"/>
  </r>
  <r>
    <s v="WALK IN"/>
    <x v="1"/>
    <d v="2023-08-01T00:00:00"/>
    <x v="3"/>
    <n v="42"/>
    <n v="120000"/>
    <m/>
    <m/>
    <n v="42"/>
    <n v="5040240"/>
  </r>
  <r>
    <s v="KERJASAMA MITRA"/>
    <x v="4"/>
    <d v="2023-08-01T00:00:00"/>
    <x v="3"/>
    <n v="3"/>
    <n v="130000"/>
    <m/>
    <m/>
    <n v="3"/>
    <n v="390000"/>
  </r>
  <r>
    <s v="WALK IN"/>
    <x v="0"/>
    <d v="2023-08-02T00:00:00"/>
    <x v="3"/>
    <n v="43"/>
    <n v="120000"/>
    <m/>
    <m/>
    <n v="43"/>
    <n v="5160000"/>
  </r>
  <r>
    <s v="WALK IN"/>
    <x v="1"/>
    <d v="2023-08-02T00:00:00"/>
    <x v="3"/>
    <n v="40"/>
    <n v="120000"/>
    <m/>
    <m/>
    <n v="40"/>
    <n v="4801000"/>
  </r>
  <r>
    <s v="KERJASAMA MITRA"/>
    <x v="2"/>
    <d v="2023-08-02T00:00:00"/>
    <x v="3"/>
    <n v="6"/>
    <n v="150000"/>
    <m/>
    <m/>
    <n v="6"/>
    <n v="900000"/>
  </r>
  <r>
    <s v="KERJASAMA MITRA"/>
    <x v="3"/>
    <d v="2023-08-02T00:00:00"/>
    <x v="3"/>
    <n v="2"/>
    <n v="130000"/>
    <m/>
    <m/>
    <n v="2"/>
    <n v="260000"/>
  </r>
  <r>
    <s v="KERJASAMA MITRA"/>
    <x v="5"/>
    <d v="2023-08-02T00:00:00"/>
    <x v="3"/>
    <n v="4"/>
    <n v="130000"/>
    <m/>
    <m/>
    <n v="4"/>
    <n v="520000"/>
  </r>
  <r>
    <s v="WALK IN"/>
    <x v="0"/>
    <d v="2023-08-03T00:00:00"/>
    <x v="3"/>
    <n v="10"/>
    <n v="120000"/>
    <m/>
    <m/>
    <n v="10"/>
    <n v="1200000"/>
  </r>
  <r>
    <s v="WALK IN"/>
    <x v="1"/>
    <d v="2023-08-03T00:00:00"/>
    <x v="3"/>
    <n v="127"/>
    <n v="120000"/>
    <m/>
    <m/>
    <n v="127"/>
    <n v="15240000"/>
  </r>
  <r>
    <s v="KERJASAMA MITRA"/>
    <x v="3"/>
    <d v="2023-08-03T00:00:00"/>
    <x v="3"/>
    <n v="4"/>
    <n v="130000"/>
    <m/>
    <m/>
    <n v="4"/>
    <n v="520000"/>
  </r>
  <r>
    <s v="KERJASAMA MITRA"/>
    <x v="4"/>
    <d v="2023-08-03T00:00:00"/>
    <x v="3"/>
    <n v="9"/>
    <n v="130000"/>
    <m/>
    <m/>
    <n v="9"/>
    <n v="1170000"/>
  </r>
  <r>
    <s v="WALK IN"/>
    <x v="0"/>
    <d v="2023-08-04T00:00:00"/>
    <x v="3"/>
    <n v="91"/>
    <n v="120000"/>
    <m/>
    <m/>
    <n v="91"/>
    <n v="10920000"/>
  </r>
  <r>
    <s v="WALK IN"/>
    <x v="1"/>
    <d v="2023-08-04T00:00:00"/>
    <x v="3"/>
    <n v="38"/>
    <n v="120000"/>
    <m/>
    <m/>
    <n v="38"/>
    <n v="4560000"/>
  </r>
  <r>
    <s v="KERJASAMA MITRA"/>
    <x v="2"/>
    <d v="2023-08-04T00:00:00"/>
    <x v="3"/>
    <n v="5"/>
    <n v="150000"/>
    <m/>
    <m/>
    <n v="5"/>
    <n v="750000"/>
  </r>
  <r>
    <s v="KERJASAMA MITRA"/>
    <x v="3"/>
    <d v="2023-08-04T00:00:00"/>
    <x v="3"/>
    <n v="2"/>
    <n v="130000"/>
    <m/>
    <m/>
    <n v="2"/>
    <n v="260000"/>
  </r>
  <r>
    <s v="KERJASAMA MITRA"/>
    <x v="4"/>
    <d v="2023-08-04T00:00:00"/>
    <x v="3"/>
    <n v="2"/>
    <n v="130000"/>
    <m/>
    <m/>
    <n v="2"/>
    <n v="260000"/>
  </r>
  <r>
    <s v="KERJASAMA MITRA"/>
    <x v="5"/>
    <d v="2023-08-04T00:00:00"/>
    <x v="3"/>
    <n v="3"/>
    <n v="130000"/>
    <m/>
    <m/>
    <n v="3"/>
    <n v="390000"/>
  </r>
  <r>
    <s v="KERJASAMA MITRA"/>
    <x v="6"/>
    <d v="2023-08-04T00:00:00"/>
    <x v="3"/>
    <n v="14"/>
    <n v="130000"/>
    <m/>
    <m/>
    <n v="14"/>
    <n v="1820000"/>
  </r>
  <r>
    <s v="WALK IN"/>
    <x v="0"/>
    <d v="2023-08-05T00:00:00"/>
    <x v="3"/>
    <n v="52"/>
    <n v="120000"/>
    <m/>
    <m/>
    <n v="52"/>
    <n v="6240000"/>
  </r>
  <r>
    <s v="WALK IN"/>
    <x v="1"/>
    <d v="2023-08-05T00:00:00"/>
    <x v="3"/>
    <n v="5"/>
    <n v="120000"/>
    <m/>
    <m/>
    <n v="5"/>
    <n v="600000"/>
  </r>
  <r>
    <s v="KERJASAMA MITRA"/>
    <x v="2"/>
    <d v="2023-08-05T00:00:00"/>
    <x v="3"/>
    <n v="4"/>
    <n v="150000"/>
    <m/>
    <m/>
    <n v="4"/>
    <n v="600000"/>
  </r>
  <r>
    <s v="KERJASAMA MITRA"/>
    <x v="3"/>
    <d v="2023-08-05T00:00:00"/>
    <x v="3"/>
    <n v="5"/>
    <n v="130000"/>
    <m/>
    <m/>
    <n v="5"/>
    <n v="650000"/>
  </r>
  <r>
    <s v="KERJASAMA MITRA"/>
    <x v="4"/>
    <d v="2023-08-05T00:00:00"/>
    <x v="3"/>
    <n v="3"/>
    <n v="130000"/>
    <m/>
    <m/>
    <n v="3"/>
    <n v="390000"/>
  </r>
  <r>
    <s v="KERJASAMA MITRA"/>
    <x v="5"/>
    <d v="2023-08-05T00:00:00"/>
    <x v="3"/>
    <n v="1"/>
    <n v="130000"/>
    <m/>
    <m/>
    <n v="1"/>
    <n v="130000"/>
  </r>
  <r>
    <s v="KERJASAMA MITRA"/>
    <x v="6"/>
    <d v="2023-08-05T00:00:00"/>
    <x v="3"/>
    <n v="28"/>
    <n v="130000"/>
    <m/>
    <m/>
    <n v="28"/>
    <n v="3640000"/>
  </r>
  <r>
    <s v="WALK IN"/>
    <x v="0"/>
    <d v="2023-08-06T00:00:00"/>
    <x v="3"/>
    <n v="63"/>
    <n v="120000"/>
    <m/>
    <m/>
    <n v="63"/>
    <n v="7560000"/>
  </r>
  <r>
    <s v="WALK IN"/>
    <x v="1"/>
    <d v="2023-08-06T00:00:00"/>
    <x v="3"/>
    <n v="10"/>
    <n v="120000"/>
    <m/>
    <m/>
    <n v="10"/>
    <n v="1200000"/>
  </r>
  <r>
    <s v="KERJASAMA MITRA"/>
    <x v="2"/>
    <d v="2023-08-06T00:00:00"/>
    <x v="3"/>
    <n v="2"/>
    <n v="150000"/>
    <m/>
    <m/>
    <n v="2"/>
    <n v="300000"/>
  </r>
  <r>
    <s v="KERJASAMA MITRA"/>
    <x v="4"/>
    <d v="2023-08-06T00:00:00"/>
    <x v="3"/>
    <n v="2"/>
    <n v="130000"/>
    <m/>
    <m/>
    <n v="2"/>
    <n v="260000"/>
  </r>
  <r>
    <s v="KERJASAMA MITRA"/>
    <x v="5"/>
    <d v="2023-08-06T00:00:00"/>
    <x v="3"/>
    <n v="4"/>
    <n v="130000"/>
    <m/>
    <m/>
    <n v="4"/>
    <n v="520000"/>
  </r>
  <r>
    <s v="KERJASAMA MITRA"/>
    <x v="6"/>
    <d v="2023-08-06T00:00:00"/>
    <x v="3"/>
    <n v="60"/>
    <n v="130000"/>
    <m/>
    <m/>
    <n v="60"/>
    <n v="7800000"/>
  </r>
  <r>
    <s v="KERJASAMA MITRA"/>
    <x v="7"/>
    <d v="2023-08-06T00:00:00"/>
    <x v="3"/>
    <n v="13"/>
    <n v="110000"/>
    <m/>
    <m/>
    <n v="13"/>
    <n v="1430000"/>
  </r>
  <r>
    <s v="WALK IN"/>
    <x v="0"/>
    <d v="2023-08-07T00:00:00"/>
    <x v="3"/>
    <n v="58"/>
    <n v="120000"/>
    <m/>
    <m/>
    <n v="58"/>
    <n v="6960100"/>
  </r>
  <r>
    <s v="WALK IN"/>
    <x v="1"/>
    <d v="2023-08-07T00:00:00"/>
    <x v="3"/>
    <n v="3"/>
    <n v="120000"/>
    <m/>
    <m/>
    <n v="3"/>
    <n v="360000"/>
  </r>
  <r>
    <s v="KERJASAMA MITRA"/>
    <x v="2"/>
    <d v="2023-08-07T00:00:00"/>
    <x v="3"/>
    <n v="1"/>
    <n v="150000"/>
    <m/>
    <m/>
    <n v="1"/>
    <n v="150000"/>
  </r>
  <r>
    <s v="KERJASAMA MITRA"/>
    <x v="3"/>
    <d v="2023-08-07T00:00:00"/>
    <x v="3"/>
    <n v="4"/>
    <n v="130000"/>
    <m/>
    <m/>
    <n v="4"/>
    <n v="520000"/>
  </r>
  <r>
    <s v="KERJASAMA MITRA"/>
    <x v="5"/>
    <d v="2023-08-07T00:00:00"/>
    <x v="3"/>
    <n v="11"/>
    <n v="130000"/>
    <m/>
    <m/>
    <n v="11"/>
    <n v="1430000"/>
  </r>
  <r>
    <s v="KERJASAMA MITRA"/>
    <x v="4"/>
    <d v="2023-08-07T00:00:00"/>
    <x v="3"/>
    <n v="4"/>
    <n v="130000"/>
    <m/>
    <m/>
    <n v="4"/>
    <n v="520000"/>
  </r>
  <r>
    <s v="KERJASAMA MITRA"/>
    <x v="6"/>
    <d v="2023-08-07T00:00:00"/>
    <x v="3"/>
    <n v="22"/>
    <n v="130000"/>
    <m/>
    <m/>
    <n v="22"/>
    <n v="2860000"/>
  </r>
  <r>
    <s v="WALK IN"/>
    <x v="0"/>
    <d v="2023-08-08T00:00:00"/>
    <x v="3"/>
    <n v="60"/>
    <n v="120000"/>
    <m/>
    <m/>
    <n v="60"/>
    <n v="7200000"/>
  </r>
  <r>
    <s v="WALK IN"/>
    <x v="1"/>
    <d v="2023-08-08T00:00:00"/>
    <x v="3"/>
    <n v="12"/>
    <n v="120000"/>
    <m/>
    <m/>
    <n v="12"/>
    <n v="1440000"/>
  </r>
  <r>
    <s v="KERJASAMA MITRA"/>
    <x v="2"/>
    <d v="2023-08-08T00:00:00"/>
    <x v="3"/>
    <n v="6"/>
    <n v="150000"/>
    <m/>
    <m/>
    <n v="6"/>
    <n v="900000"/>
  </r>
  <r>
    <s v="KERJASAMA MITRA"/>
    <x v="5"/>
    <d v="2023-08-08T00:00:00"/>
    <x v="3"/>
    <n v="2"/>
    <n v="130000"/>
    <m/>
    <m/>
    <n v="2"/>
    <n v="260000"/>
  </r>
  <r>
    <s v="KERJASAMA MITRA"/>
    <x v="4"/>
    <d v="2023-08-08T00:00:00"/>
    <x v="3"/>
    <n v="5"/>
    <n v="130000"/>
    <m/>
    <m/>
    <n v="5"/>
    <n v="650000"/>
  </r>
  <r>
    <s v="KERJASAMA MITRA"/>
    <x v="6"/>
    <d v="2023-08-08T00:00:00"/>
    <x v="3"/>
    <n v="41"/>
    <n v="130000"/>
    <m/>
    <m/>
    <n v="41"/>
    <n v="5330000"/>
  </r>
  <r>
    <s v="WALK IN"/>
    <x v="0"/>
    <d v="2023-08-09T00:00:00"/>
    <x v="3"/>
    <n v="59"/>
    <n v="120000"/>
    <m/>
    <m/>
    <n v="59"/>
    <n v="7080000"/>
  </r>
  <r>
    <s v="WALK IN"/>
    <x v="1"/>
    <d v="2023-08-09T00:00:00"/>
    <x v="3"/>
    <n v="7"/>
    <n v="120000"/>
    <m/>
    <m/>
    <n v="7"/>
    <n v="840000"/>
  </r>
  <r>
    <s v="KERJASAMA MITRA"/>
    <x v="2"/>
    <d v="2023-08-09T00:00:00"/>
    <x v="3"/>
    <n v="5"/>
    <n v="150000"/>
    <m/>
    <m/>
    <n v="5"/>
    <n v="750000"/>
  </r>
  <r>
    <s v="KERJASAMA MITRA"/>
    <x v="3"/>
    <d v="2023-08-09T00:00:00"/>
    <x v="3"/>
    <n v="3"/>
    <n v="130000"/>
    <m/>
    <m/>
    <n v="3"/>
    <n v="390000"/>
  </r>
  <r>
    <s v="KERJASAMA MITRA"/>
    <x v="4"/>
    <d v="2023-08-09T00:00:00"/>
    <x v="3"/>
    <n v="4"/>
    <n v="130000"/>
    <m/>
    <m/>
    <n v="4"/>
    <n v="520000"/>
  </r>
  <r>
    <s v="KERJASAMA MITRA"/>
    <x v="5"/>
    <d v="2023-08-09T00:00:00"/>
    <x v="3"/>
    <n v="3"/>
    <n v="130000"/>
    <m/>
    <m/>
    <n v="3"/>
    <n v="390000"/>
  </r>
  <r>
    <s v="KERJASAMA MITRA"/>
    <x v="6"/>
    <d v="2023-08-09T00:00:00"/>
    <x v="3"/>
    <n v="47"/>
    <n v="130000"/>
    <m/>
    <m/>
    <n v="47"/>
    <n v="6110000"/>
  </r>
  <r>
    <s v="WALK IN"/>
    <x v="0"/>
    <d v="2023-08-10T00:00:00"/>
    <x v="3"/>
    <n v="75"/>
    <n v="120000"/>
    <m/>
    <m/>
    <n v="75"/>
    <n v="9000000"/>
  </r>
  <r>
    <s v="WALK IN"/>
    <x v="1"/>
    <d v="2023-08-10T00:00:00"/>
    <x v="3"/>
    <n v="19"/>
    <n v="120000"/>
    <m/>
    <m/>
    <n v="19"/>
    <n v="2280000"/>
  </r>
  <r>
    <s v="KERJASAMA MITRA"/>
    <x v="2"/>
    <d v="2023-08-10T00:00:00"/>
    <x v="3"/>
    <n v="2"/>
    <n v="150000"/>
    <m/>
    <m/>
    <n v="2"/>
    <n v="300000"/>
  </r>
  <r>
    <s v="KERJASAMA MITRA"/>
    <x v="5"/>
    <d v="2023-08-10T00:00:00"/>
    <x v="3"/>
    <n v="5"/>
    <n v="130000"/>
    <m/>
    <m/>
    <n v="5"/>
    <n v="650000"/>
  </r>
  <r>
    <s v="KERJASAMA MITRA"/>
    <x v="4"/>
    <d v="2023-08-10T00:00:00"/>
    <x v="3"/>
    <n v="6"/>
    <n v="130000"/>
    <m/>
    <m/>
    <n v="6"/>
    <n v="780000"/>
  </r>
  <r>
    <s v="KERJASAMA MITRA"/>
    <x v="6"/>
    <d v="2023-08-10T00:00:00"/>
    <x v="3"/>
    <n v="48"/>
    <n v="130000"/>
    <m/>
    <m/>
    <n v="48"/>
    <n v="6240000"/>
  </r>
  <r>
    <s v="WALK IN"/>
    <x v="0"/>
    <d v="2023-08-11T00:00:00"/>
    <x v="3"/>
    <n v="60"/>
    <n v="120000"/>
    <m/>
    <m/>
    <n v="60"/>
    <n v="7200000"/>
  </r>
  <r>
    <s v="WALK IN"/>
    <x v="1"/>
    <d v="2023-08-11T00:00:00"/>
    <x v="3"/>
    <n v="10"/>
    <n v="120000"/>
    <m/>
    <m/>
    <n v="10"/>
    <n v="1200000"/>
  </r>
  <r>
    <s v="KERJASAMA MITRA"/>
    <x v="2"/>
    <d v="2023-08-11T00:00:00"/>
    <x v="3"/>
    <n v="2"/>
    <n v="150000"/>
    <m/>
    <m/>
    <n v="2"/>
    <n v="300000"/>
  </r>
  <r>
    <s v="KERJASAMA MITRA"/>
    <x v="5"/>
    <d v="2023-08-11T00:00:00"/>
    <x v="3"/>
    <n v="4"/>
    <n v="130000"/>
    <m/>
    <m/>
    <n v="4"/>
    <n v="520000"/>
  </r>
  <r>
    <s v="KERJASAMA MITRA"/>
    <x v="4"/>
    <d v="2023-08-11T00:00:00"/>
    <x v="3"/>
    <n v="11"/>
    <n v="130000"/>
    <m/>
    <m/>
    <n v="11"/>
    <n v="1430000"/>
  </r>
  <r>
    <s v="KERJASAMA MITRA"/>
    <x v="6"/>
    <d v="2023-08-11T00:00:00"/>
    <x v="3"/>
    <n v="68"/>
    <n v="130000"/>
    <m/>
    <m/>
    <n v="68"/>
    <n v="8840000"/>
  </r>
  <r>
    <s v="KERJASAMA MITRA"/>
    <x v="7"/>
    <d v="2023-08-11T00:00:00"/>
    <x v="3"/>
    <n v="17"/>
    <n v="110000"/>
    <m/>
    <m/>
    <n v="17"/>
    <n v="1870000"/>
  </r>
  <r>
    <s v="WALK IN"/>
    <x v="0"/>
    <d v="2023-08-12T00:00:00"/>
    <x v="3"/>
    <n v="74"/>
    <n v="120000"/>
    <m/>
    <m/>
    <n v="74"/>
    <n v="8900000"/>
  </r>
  <r>
    <s v="WALK IN"/>
    <x v="1"/>
    <d v="2023-08-12T00:00:00"/>
    <x v="3"/>
    <n v="4"/>
    <n v="120000"/>
    <m/>
    <m/>
    <n v="4"/>
    <n v="480000"/>
  </r>
  <r>
    <s v="KERJASAMA MITRA"/>
    <x v="2"/>
    <d v="2023-08-12T00:00:00"/>
    <x v="3"/>
    <n v="9"/>
    <n v="150000"/>
    <m/>
    <m/>
    <n v="9"/>
    <n v="1350000"/>
  </r>
  <r>
    <s v="KERJASAMA MITRA"/>
    <x v="5"/>
    <d v="2023-08-12T00:00:00"/>
    <x v="3"/>
    <n v="4"/>
    <n v="130000"/>
    <m/>
    <m/>
    <n v="4"/>
    <n v="520000"/>
  </r>
  <r>
    <s v="KERJASAMA MITRA"/>
    <x v="4"/>
    <d v="2023-08-12T00:00:00"/>
    <x v="3"/>
    <n v="14"/>
    <n v="130000"/>
    <m/>
    <m/>
    <n v="14"/>
    <n v="1820000"/>
  </r>
  <r>
    <s v="KERJASAMA MITRA"/>
    <x v="6"/>
    <d v="2023-08-12T00:00:00"/>
    <x v="3"/>
    <n v="60"/>
    <n v="130000"/>
    <m/>
    <m/>
    <n v="60"/>
    <n v="7800000"/>
  </r>
  <r>
    <s v="WALK IN"/>
    <x v="0"/>
    <d v="2023-08-13T00:00:00"/>
    <x v="3"/>
    <n v="39"/>
    <n v="99600"/>
    <m/>
    <m/>
    <n v="39"/>
    <n v="3884400"/>
  </r>
  <r>
    <s v="WALK IN"/>
    <x v="1"/>
    <d v="2023-08-13T00:00:00"/>
    <x v="3"/>
    <n v="8"/>
    <n v="99600"/>
    <m/>
    <m/>
    <n v="8"/>
    <n v="796800"/>
  </r>
  <r>
    <s v="KERJASAMA MITRA"/>
    <x v="2"/>
    <d v="2023-08-13T00:00:00"/>
    <x v="3"/>
    <n v="6"/>
    <n v="150000"/>
    <m/>
    <m/>
    <n v="6"/>
    <n v="900000"/>
  </r>
  <r>
    <s v="KERJASAMA MITRA"/>
    <x v="3"/>
    <d v="2023-08-13T00:00:00"/>
    <x v="3"/>
    <n v="4"/>
    <n v="130000"/>
    <m/>
    <m/>
    <n v="4"/>
    <n v="520000"/>
  </r>
  <r>
    <s v="KERJASAMA MITRA"/>
    <x v="5"/>
    <d v="2023-08-13T00:00:00"/>
    <x v="3"/>
    <n v="6"/>
    <n v="130000"/>
    <m/>
    <m/>
    <n v="6"/>
    <n v="780000"/>
  </r>
  <r>
    <s v="KERJASAMA MITRA"/>
    <x v="4"/>
    <d v="2023-08-13T00:00:00"/>
    <x v="3"/>
    <n v="5"/>
    <n v="130000"/>
    <m/>
    <m/>
    <n v="5"/>
    <n v="650000"/>
  </r>
  <r>
    <s v="KERJASAMA MITRA"/>
    <x v="6"/>
    <d v="2023-08-13T00:00:00"/>
    <x v="3"/>
    <n v="71"/>
    <n v="130000"/>
    <m/>
    <m/>
    <n v="71"/>
    <n v="9230000"/>
  </r>
  <r>
    <s v="KERJASAMA MITRA"/>
    <x v="7"/>
    <d v="2023-08-13T00:00:00"/>
    <x v="3"/>
    <n v="2"/>
    <n v="110000"/>
    <m/>
    <m/>
    <n v="2"/>
    <n v="220000"/>
  </r>
  <r>
    <s v="WALK IN"/>
    <x v="0"/>
    <d v="2023-08-14T00:00:00"/>
    <x v="3"/>
    <n v="48"/>
    <n v="99600"/>
    <m/>
    <m/>
    <n v="48"/>
    <n v="4780800"/>
  </r>
  <r>
    <s v="WALK IN"/>
    <x v="1"/>
    <d v="2023-08-14T00:00:00"/>
    <x v="3"/>
    <n v="12"/>
    <n v="99600"/>
    <m/>
    <m/>
    <n v="12"/>
    <n v="1195200"/>
  </r>
  <r>
    <s v="KERJASAMA MITRA"/>
    <x v="2"/>
    <d v="2023-08-14T00:00:00"/>
    <x v="3"/>
    <n v="4"/>
    <n v="150000"/>
    <m/>
    <m/>
    <n v="4"/>
    <n v="600000"/>
  </r>
  <r>
    <s v="KERJASAMA MITRA"/>
    <x v="4"/>
    <d v="2023-08-14T00:00:00"/>
    <x v="3"/>
    <n v="4"/>
    <n v="130000"/>
    <m/>
    <m/>
    <n v="4"/>
    <n v="520000"/>
  </r>
  <r>
    <s v="KERJASAMA MITRA"/>
    <x v="5"/>
    <d v="2023-08-14T00:00:00"/>
    <x v="3"/>
    <n v="1"/>
    <n v="130000"/>
    <m/>
    <m/>
    <n v="1"/>
    <n v="130000"/>
  </r>
  <r>
    <s v="KERJASAMA MITRA"/>
    <x v="6"/>
    <d v="2023-08-14T00:00:00"/>
    <x v="3"/>
    <n v="62"/>
    <n v="130000"/>
    <m/>
    <m/>
    <n v="62"/>
    <n v="8060000"/>
  </r>
  <r>
    <s v="WALK IN"/>
    <x v="0"/>
    <d v="2023-08-15T00:00:00"/>
    <x v="3"/>
    <n v="68"/>
    <n v="99600"/>
    <m/>
    <m/>
    <n v="68"/>
    <n v="6772800"/>
  </r>
  <r>
    <s v="WALK IN"/>
    <x v="1"/>
    <d v="2023-08-15T00:00:00"/>
    <x v="3"/>
    <n v="33"/>
    <n v="99600"/>
    <m/>
    <m/>
    <n v="33"/>
    <n v="3286800"/>
  </r>
  <r>
    <s v="KERJASAMA MITRA"/>
    <x v="2"/>
    <d v="2023-08-15T00:00:00"/>
    <x v="3"/>
    <n v="7"/>
    <n v="150000"/>
    <m/>
    <m/>
    <n v="7"/>
    <n v="1050000"/>
  </r>
  <r>
    <s v="KERJASAMA MITRA"/>
    <x v="3"/>
    <d v="2023-08-15T00:00:00"/>
    <x v="3"/>
    <n v="9"/>
    <n v="130000"/>
    <m/>
    <m/>
    <n v="9"/>
    <n v="1170000"/>
  </r>
  <r>
    <s v="KERJASAMA MITRA"/>
    <x v="5"/>
    <d v="2023-08-15T00:00:00"/>
    <x v="3"/>
    <n v="7"/>
    <n v="130000"/>
    <m/>
    <m/>
    <n v="7"/>
    <n v="910000"/>
  </r>
  <r>
    <s v="KERJASAMA MITRA"/>
    <x v="4"/>
    <d v="2023-08-15T00:00:00"/>
    <x v="3"/>
    <n v="6"/>
    <n v="130000"/>
    <m/>
    <m/>
    <n v="6"/>
    <n v="780000"/>
  </r>
  <r>
    <s v="KERJASAMA MITRA"/>
    <x v="6"/>
    <d v="2023-08-15T00:00:00"/>
    <x v="3"/>
    <n v="37"/>
    <n v="130000"/>
    <m/>
    <m/>
    <n v="37"/>
    <n v="4810000"/>
  </r>
  <r>
    <s v="WALK IN"/>
    <x v="0"/>
    <d v="2023-08-16T00:00:00"/>
    <x v="3"/>
    <n v="96"/>
    <n v="99600"/>
    <m/>
    <m/>
    <n v="96"/>
    <n v="9561600"/>
  </r>
  <r>
    <s v="WALK IN"/>
    <x v="1"/>
    <d v="2023-08-16T00:00:00"/>
    <x v="3"/>
    <n v="42"/>
    <n v="99600"/>
    <m/>
    <m/>
    <n v="42"/>
    <n v="4183200"/>
  </r>
  <r>
    <s v="KERJASAMA MITRA"/>
    <x v="2"/>
    <d v="2023-08-16T00:00:00"/>
    <x v="3"/>
    <n v="2"/>
    <n v="150000"/>
    <m/>
    <m/>
    <n v="2"/>
    <n v="300000"/>
  </r>
  <r>
    <s v="KERJASAMA MITRA"/>
    <x v="3"/>
    <d v="2023-08-16T00:00:00"/>
    <x v="3"/>
    <n v="8"/>
    <n v="130000"/>
    <m/>
    <m/>
    <n v="8"/>
    <n v="1040000"/>
  </r>
  <r>
    <s v="KERJASAMA MITRA"/>
    <x v="4"/>
    <d v="2023-08-16T00:00:00"/>
    <x v="3"/>
    <n v="22"/>
    <n v="130000"/>
    <m/>
    <m/>
    <n v="22"/>
    <n v="2860000"/>
  </r>
  <r>
    <s v="KERJASAMA MITRA"/>
    <x v="5"/>
    <d v="2023-08-16T00:00:00"/>
    <x v="3"/>
    <n v="10"/>
    <n v="130000"/>
    <m/>
    <m/>
    <n v="10"/>
    <n v="1300000"/>
  </r>
  <r>
    <s v="KERJASAMA MITRA"/>
    <x v="6"/>
    <d v="2023-08-16T00:00:00"/>
    <x v="3"/>
    <n v="58"/>
    <n v="130000"/>
    <m/>
    <m/>
    <n v="58"/>
    <n v="7540000"/>
  </r>
  <r>
    <s v="WALK IN"/>
    <x v="0"/>
    <d v="2023-08-17T00:00:00"/>
    <x v="3"/>
    <n v="122"/>
    <n v="99600"/>
    <m/>
    <m/>
    <n v="122"/>
    <n v="12151200"/>
  </r>
  <r>
    <s v="WALK IN"/>
    <x v="1"/>
    <d v="2023-08-17T00:00:00"/>
    <x v="3"/>
    <n v="21"/>
    <n v="99600"/>
    <m/>
    <m/>
    <n v="21"/>
    <n v="2091600"/>
  </r>
  <r>
    <s v="KERJASAMA MITRA"/>
    <x v="2"/>
    <d v="2023-08-17T00:00:00"/>
    <x v="3"/>
    <n v="1"/>
    <n v="150000"/>
    <m/>
    <m/>
    <n v="1"/>
    <n v="150000"/>
  </r>
  <r>
    <s v="KERJASAMA MITRA"/>
    <x v="3"/>
    <d v="2023-08-17T00:00:00"/>
    <x v="3"/>
    <n v="6"/>
    <n v="130000"/>
    <m/>
    <m/>
    <n v="6"/>
    <n v="780000"/>
  </r>
  <r>
    <s v="KERJASAMA MITRA"/>
    <x v="4"/>
    <d v="2023-08-17T00:00:00"/>
    <x v="3"/>
    <n v="7"/>
    <n v="130000"/>
    <m/>
    <m/>
    <n v="7"/>
    <n v="910000"/>
  </r>
  <r>
    <s v="KERJASAMA MITRA"/>
    <x v="5"/>
    <d v="2023-08-17T00:00:00"/>
    <x v="3"/>
    <n v="8"/>
    <n v="130000"/>
    <m/>
    <m/>
    <n v="8"/>
    <n v="1040000"/>
  </r>
  <r>
    <s v="KERJASAMA MITRA"/>
    <x v="6"/>
    <d v="2023-08-17T00:00:00"/>
    <x v="3"/>
    <n v="51"/>
    <n v="130000"/>
    <m/>
    <m/>
    <n v="51"/>
    <n v="6630000"/>
  </r>
  <r>
    <s v="KERJASAMA MITRA"/>
    <x v="7"/>
    <d v="2023-08-17T00:00:00"/>
    <x v="3"/>
    <n v="8"/>
    <n v="110000"/>
    <m/>
    <m/>
    <n v="8"/>
    <n v="880000"/>
  </r>
  <r>
    <s v="WALK IN"/>
    <x v="0"/>
    <d v="2023-08-18T00:00:00"/>
    <x v="3"/>
    <n v="89"/>
    <n v="99600"/>
    <m/>
    <m/>
    <n v="89"/>
    <n v="8864400"/>
  </r>
  <r>
    <s v="WALK IN"/>
    <x v="1"/>
    <d v="2023-08-18T00:00:00"/>
    <x v="3"/>
    <n v="17"/>
    <n v="99600"/>
    <m/>
    <m/>
    <n v="17"/>
    <n v="1693200"/>
  </r>
  <r>
    <s v="KERJASAMA MITRA"/>
    <x v="2"/>
    <d v="2023-08-18T00:00:00"/>
    <x v="3"/>
    <n v="3"/>
    <n v="150000"/>
    <m/>
    <m/>
    <n v="3"/>
    <n v="450000"/>
  </r>
  <r>
    <s v="KERJASAMA MITRA"/>
    <x v="3"/>
    <d v="2023-08-18T00:00:00"/>
    <x v="3"/>
    <n v="3"/>
    <n v="130000"/>
    <m/>
    <m/>
    <n v="3"/>
    <n v="390000"/>
  </r>
  <r>
    <s v="KERJASAMA MITRA"/>
    <x v="4"/>
    <d v="2023-08-18T00:00:00"/>
    <x v="3"/>
    <n v="3"/>
    <n v="130000"/>
    <m/>
    <m/>
    <n v="3"/>
    <n v="390000"/>
  </r>
  <r>
    <s v="KERJASAMA MITRA"/>
    <x v="5"/>
    <d v="2023-08-18T00:00:00"/>
    <x v="3"/>
    <n v="5"/>
    <n v="130000"/>
    <m/>
    <m/>
    <n v="5"/>
    <n v="650000"/>
  </r>
  <r>
    <s v="KERJASAMA MITRA"/>
    <x v="6"/>
    <d v="2023-08-18T00:00:00"/>
    <x v="3"/>
    <n v="63"/>
    <n v="130000"/>
    <m/>
    <m/>
    <n v="63"/>
    <n v="8190000"/>
  </r>
  <r>
    <s v="WALK IN"/>
    <x v="0"/>
    <d v="2023-08-19T00:00:00"/>
    <x v="3"/>
    <n v="58"/>
    <n v="120000"/>
    <m/>
    <m/>
    <n v="58"/>
    <n v="7000000"/>
  </r>
  <r>
    <s v="WALK IN"/>
    <x v="1"/>
    <d v="2023-08-19T00:00:00"/>
    <x v="3"/>
    <n v="5"/>
    <n v="120000"/>
    <m/>
    <m/>
    <n v="5"/>
    <n v="600000"/>
  </r>
  <r>
    <s v="KERJASAMA MITRA"/>
    <x v="3"/>
    <d v="2023-08-19T00:00:00"/>
    <x v="3"/>
    <n v="7"/>
    <n v="130000"/>
    <m/>
    <m/>
    <n v="7"/>
    <n v="910000"/>
  </r>
  <r>
    <s v="KERJASAMA MITRA"/>
    <x v="4"/>
    <d v="2023-08-19T00:00:00"/>
    <x v="3"/>
    <n v="10"/>
    <n v="130000"/>
    <m/>
    <m/>
    <n v="10"/>
    <n v="1300000"/>
  </r>
  <r>
    <s v="KERJASAMA MITRA"/>
    <x v="5"/>
    <d v="2023-08-19T00:00:00"/>
    <x v="3"/>
    <n v="3"/>
    <n v="130000"/>
    <m/>
    <m/>
    <n v="3"/>
    <n v="390000"/>
  </r>
  <r>
    <s v="KERJASAMA MITRA"/>
    <x v="6"/>
    <d v="2023-08-19T00:00:00"/>
    <x v="3"/>
    <n v="54"/>
    <n v="130000"/>
    <m/>
    <m/>
    <n v="54"/>
    <n v="7020000"/>
  </r>
  <r>
    <s v="WALK IN"/>
    <x v="0"/>
    <d v="2023-08-20T00:00:00"/>
    <x v="3"/>
    <n v="99"/>
    <n v="120000"/>
    <m/>
    <m/>
    <n v="99"/>
    <n v="11880000"/>
  </r>
  <r>
    <s v="WALK IN"/>
    <x v="1"/>
    <d v="2023-08-20T00:00:00"/>
    <x v="3"/>
    <n v="6"/>
    <n v="120000"/>
    <m/>
    <m/>
    <n v="6"/>
    <n v="720000"/>
  </r>
  <r>
    <s v="KERJASAMA MITRA"/>
    <x v="2"/>
    <d v="2023-08-20T00:00:00"/>
    <x v="3"/>
    <n v="4"/>
    <n v="150000"/>
    <m/>
    <m/>
    <n v="4"/>
    <n v="600000"/>
  </r>
  <r>
    <s v="KERJASAMA MITRA"/>
    <x v="4"/>
    <d v="2023-08-20T00:00:00"/>
    <x v="3"/>
    <n v="9"/>
    <n v="130000"/>
    <m/>
    <m/>
    <n v="9"/>
    <n v="1170000"/>
  </r>
  <r>
    <s v="KERJASAMA MITRA"/>
    <x v="5"/>
    <d v="2023-08-20T00:00:00"/>
    <x v="3"/>
    <n v="2"/>
    <n v="130000"/>
    <m/>
    <m/>
    <n v="2"/>
    <n v="260000"/>
  </r>
  <r>
    <s v="KERJASAMA MITRA"/>
    <x v="6"/>
    <d v="2023-08-20T00:00:00"/>
    <x v="3"/>
    <n v="85"/>
    <n v="130000"/>
    <m/>
    <m/>
    <n v="85"/>
    <n v="11050000"/>
  </r>
  <r>
    <s v="WALK IN"/>
    <x v="0"/>
    <d v="2023-08-21T00:00:00"/>
    <x v="3"/>
    <n v="62"/>
    <n v="120000"/>
    <m/>
    <m/>
    <n v="62"/>
    <n v="7440000"/>
  </r>
  <r>
    <s v="WALK IN"/>
    <x v="8"/>
    <d v="2023-08-21T00:00:00"/>
    <x v="3"/>
    <n v="1"/>
    <n v="1000000"/>
    <m/>
    <m/>
    <n v="1"/>
    <n v="1000000"/>
  </r>
  <r>
    <s v="KERJASAMA MITRA"/>
    <x v="2"/>
    <d v="2023-08-21T00:00:00"/>
    <x v="3"/>
    <n v="4"/>
    <n v="150000"/>
    <m/>
    <m/>
    <n v="4"/>
    <n v="600000"/>
  </r>
  <r>
    <s v="KERJASAMA MITRA"/>
    <x v="4"/>
    <d v="2023-08-21T00:00:00"/>
    <x v="3"/>
    <n v="10"/>
    <n v="130000"/>
    <m/>
    <m/>
    <n v="10"/>
    <n v="1300000"/>
  </r>
  <r>
    <s v="KERJASAMA MITRA"/>
    <x v="5"/>
    <d v="2023-08-21T00:00:00"/>
    <x v="3"/>
    <n v="9"/>
    <n v="130000"/>
    <m/>
    <m/>
    <n v="9"/>
    <n v="1170000"/>
  </r>
  <r>
    <s v="KERJASAMA MITRA"/>
    <x v="6"/>
    <d v="2023-08-21T00:00:00"/>
    <x v="3"/>
    <n v="33"/>
    <n v="130000"/>
    <m/>
    <m/>
    <n v="33"/>
    <n v="4290000"/>
  </r>
  <r>
    <s v="WALK IN"/>
    <x v="0"/>
    <d v="2023-08-22T00:00:00"/>
    <x v="3"/>
    <n v="41"/>
    <n v="120000"/>
    <m/>
    <m/>
    <n v="41"/>
    <n v="4920000"/>
  </r>
  <r>
    <s v="WALK IN"/>
    <x v="8"/>
    <d v="2023-08-22T00:00:00"/>
    <x v="3"/>
    <n v="1"/>
    <n v="1000000"/>
    <m/>
    <m/>
    <n v="1"/>
    <n v="1000000"/>
  </r>
  <r>
    <s v="WALK IN"/>
    <x v="1"/>
    <d v="2023-08-22T00:00:00"/>
    <x v="3"/>
    <n v="8"/>
    <n v="120000"/>
    <m/>
    <m/>
    <n v="8"/>
    <n v="960000"/>
  </r>
  <r>
    <s v="KERJASAMA MITRA"/>
    <x v="2"/>
    <d v="2023-08-22T00:00:00"/>
    <x v="3"/>
    <n v="5"/>
    <n v="150000"/>
    <m/>
    <m/>
    <n v="5"/>
    <n v="750000"/>
  </r>
  <r>
    <s v="KERJASAMA MITRA"/>
    <x v="3"/>
    <d v="2023-08-22T00:00:00"/>
    <x v="3"/>
    <n v="2"/>
    <n v="130000"/>
    <m/>
    <m/>
    <n v="2"/>
    <n v="260000"/>
  </r>
  <r>
    <s v="KERJASAMA MITRA"/>
    <x v="4"/>
    <d v="2023-08-22T00:00:00"/>
    <x v="3"/>
    <n v="21"/>
    <n v="130000"/>
    <m/>
    <m/>
    <n v="21"/>
    <n v="2730000"/>
  </r>
  <r>
    <s v="KERJASAMA MITRA"/>
    <x v="5"/>
    <d v="2023-08-22T00:00:00"/>
    <x v="3"/>
    <n v="7"/>
    <n v="130000"/>
    <m/>
    <m/>
    <n v="7"/>
    <n v="910000"/>
  </r>
  <r>
    <s v="KERJASAMA MITRA"/>
    <x v="6"/>
    <d v="2023-08-22T00:00:00"/>
    <x v="3"/>
    <n v="41"/>
    <n v="130000"/>
    <m/>
    <m/>
    <n v="41"/>
    <n v="5330000"/>
  </r>
  <r>
    <s v="WALK IN"/>
    <x v="0"/>
    <d v="2023-08-23T00:00:00"/>
    <x v="3"/>
    <n v="105"/>
    <n v="120000"/>
    <m/>
    <m/>
    <n v="105"/>
    <n v="12600000"/>
  </r>
  <r>
    <s v="WALK IN"/>
    <x v="1"/>
    <d v="2023-08-23T00:00:00"/>
    <x v="3"/>
    <n v="3"/>
    <n v="120000"/>
    <m/>
    <m/>
    <n v="3"/>
    <n v="360000"/>
  </r>
  <r>
    <s v="WALK IN"/>
    <x v="8"/>
    <d v="2023-08-23T00:00:00"/>
    <x v="3"/>
    <n v="1"/>
    <n v="500000"/>
    <m/>
    <m/>
    <n v="1"/>
    <n v="500000"/>
  </r>
  <r>
    <s v="KERJASAMA MITRA"/>
    <x v="2"/>
    <d v="2023-08-23T00:00:00"/>
    <x v="3"/>
    <n v="7"/>
    <n v="150000"/>
    <m/>
    <m/>
    <n v="7"/>
    <n v="1050000"/>
  </r>
  <r>
    <s v="KERJASAMA MITRA"/>
    <x v="4"/>
    <d v="2023-08-23T00:00:00"/>
    <x v="3"/>
    <n v="10"/>
    <n v="130000"/>
    <m/>
    <m/>
    <n v="10"/>
    <n v="1300000"/>
  </r>
  <r>
    <s v="KERJASAMA MITRA"/>
    <x v="5"/>
    <d v="2023-08-23T00:00:00"/>
    <x v="3"/>
    <n v="8"/>
    <n v="130000"/>
    <m/>
    <m/>
    <n v="8"/>
    <n v="1040000"/>
  </r>
  <r>
    <s v="KERJASAMA MITRA"/>
    <x v="6"/>
    <d v="2023-08-23T00:00:00"/>
    <x v="3"/>
    <n v="58"/>
    <n v="130000"/>
    <m/>
    <m/>
    <n v="58"/>
    <n v="7540000"/>
  </r>
  <r>
    <s v="WALK IN"/>
    <x v="0"/>
    <d v="2023-08-24T00:00:00"/>
    <x v="3"/>
    <n v="79"/>
    <n v="120000"/>
    <m/>
    <m/>
    <n v="79"/>
    <n v="9480000"/>
  </r>
  <r>
    <s v="WALK IN"/>
    <x v="1"/>
    <d v="2023-08-24T00:00:00"/>
    <x v="3"/>
    <n v="2"/>
    <n v="120000"/>
    <m/>
    <m/>
    <n v="2"/>
    <n v="240000"/>
  </r>
  <r>
    <s v="WALK IN"/>
    <x v="8"/>
    <d v="2023-08-24T00:00:00"/>
    <x v="3"/>
    <n v="1"/>
    <n v="500000"/>
    <m/>
    <m/>
    <n v="1"/>
    <n v="500000"/>
  </r>
  <r>
    <s v="UMROH"/>
    <x v="0"/>
    <d v="2023-08-24T00:00:00"/>
    <x v="3"/>
    <n v="21"/>
    <n v="110000"/>
    <m/>
    <m/>
    <n v="21"/>
    <n v="2310000"/>
  </r>
  <r>
    <s v="KERJASAMA MITRA"/>
    <x v="2"/>
    <d v="2023-08-24T00:00:00"/>
    <x v="3"/>
    <n v="4"/>
    <n v="150000"/>
    <m/>
    <m/>
    <n v="4"/>
    <n v="600000"/>
  </r>
  <r>
    <s v="KERJASAMA MITRA"/>
    <x v="3"/>
    <d v="2023-08-24T00:00:00"/>
    <x v="3"/>
    <n v="1"/>
    <n v="130000"/>
    <m/>
    <m/>
    <n v="1"/>
    <n v="130000"/>
  </r>
  <r>
    <s v="KERJASAMA MITRA"/>
    <x v="4"/>
    <d v="2023-08-24T00:00:00"/>
    <x v="3"/>
    <n v="12"/>
    <n v="130000"/>
    <m/>
    <m/>
    <n v="12"/>
    <n v="1560000"/>
  </r>
  <r>
    <s v="KERJASAMA MITRA"/>
    <x v="5"/>
    <d v="2023-08-24T00:00:00"/>
    <x v="3"/>
    <n v="3"/>
    <n v="130000"/>
    <m/>
    <m/>
    <n v="3"/>
    <n v="390000"/>
  </r>
  <r>
    <s v="KERJASAMA MITRA"/>
    <x v="6"/>
    <d v="2023-08-24T00:00:00"/>
    <x v="3"/>
    <n v="84"/>
    <n v="130000"/>
    <m/>
    <m/>
    <n v="84"/>
    <n v="10920000"/>
  </r>
  <r>
    <s v="WALK IN"/>
    <x v="0"/>
    <d v="2023-08-25T00:00:00"/>
    <x v="3"/>
    <n v="107"/>
    <n v="120000"/>
    <m/>
    <m/>
    <n v="107"/>
    <n v="12840000"/>
  </r>
  <r>
    <s v="WALK IN"/>
    <x v="1"/>
    <d v="2023-08-25T00:00:00"/>
    <x v="3"/>
    <n v="4"/>
    <n v="120000"/>
    <m/>
    <m/>
    <n v="4"/>
    <n v="480000"/>
  </r>
  <r>
    <s v="WALK IN"/>
    <x v="8"/>
    <d v="2023-08-25T00:00:00"/>
    <x v="3"/>
    <n v="1"/>
    <n v="500000"/>
    <m/>
    <m/>
    <n v="1"/>
    <n v="500000"/>
  </r>
  <r>
    <s v="KERJASAMA MITRA"/>
    <x v="2"/>
    <d v="2023-08-25T00:00:00"/>
    <x v="3"/>
    <n v="6"/>
    <n v="150000"/>
    <m/>
    <m/>
    <n v="6"/>
    <n v="900000"/>
  </r>
  <r>
    <s v="KERJASAMA MITRA"/>
    <x v="4"/>
    <d v="2023-08-25T00:00:00"/>
    <x v="3"/>
    <n v="10"/>
    <n v="130000"/>
    <m/>
    <m/>
    <n v="10"/>
    <n v="1300000"/>
  </r>
  <r>
    <s v="KERJASAMA MITRA"/>
    <x v="5"/>
    <d v="2023-08-25T00:00:00"/>
    <x v="3"/>
    <n v="2"/>
    <n v="130000"/>
    <m/>
    <m/>
    <n v="2"/>
    <n v="260000"/>
  </r>
  <r>
    <s v="KERJASAMA MITRA"/>
    <x v="6"/>
    <d v="2023-08-25T00:00:00"/>
    <x v="3"/>
    <n v="71"/>
    <n v="130000"/>
    <m/>
    <m/>
    <n v="71"/>
    <n v="9230000"/>
  </r>
  <r>
    <s v="WALK IN"/>
    <x v="0"/>
    <d v="2023-08-26T00:00:00"/>
    <x v="3"/>
    <n v="65"/>
    <n v="120000"/>
    <m/>
    <m/>
    <n v="65"/>
    <n v="7800000"/>
  </r>
  <r>
    <s v="WALK IN"/>
    <x v="1"/>
    <d v="2023-08-26T00:00:00"/>
    <x v="3"/>
    <n v="22"/>
    <n v="120000"/>
    <m/>
    <m/>
    <n v="22"/>
    <n v="2640000"/>
  </r>
  <r>
    <s v="KERJASAMA MITRA"/>
    <x v="2"/>
    <d v="2023-08-26T00:00:00"/>
    <x v="3"/>
    <n v="8"/>
    <n v="150000"/>
    <m/>
    <m/>
    <n v="8"/>
    <n v="1200000"/>
  </r>
  <r>
    <s v="KERJASAMA MITRA"/>
    <x v="4"/>
    <d v="2023-08-26T00:00:00"/>
    <x v="3"/>
    <n v="5"/>
    <n v="130000"/>
    <m/>
    <m/>
    <n v="5"/>
    <n v="650000"/>
  </r>
  <r>
    <s v="KERJASAMA MITRA"/>
    <x v="6"/>
    <d v="2023-08-26T00:00:00"/>
    <x v="3"/>
    <n v="41"/>
    <n v="130000"/>
    <m/>
    <m/>
    <n v="41"/>
    <n v="5330000"/>
  </r>
  <r>
    <s v="WALK IN"/>
    <x v="0"/>
    <d v="2023-08-27T00:00:00"/>
    <x v="3"/>
    <n v="107"/>
    <n v="120000"/>
    <m/>
    <m/>
    <n v="107"/>
    <n v="12840000"/>
  </r>
  <r>
    <s v="WALK IN"/>
    <x v="1"/>
    <d v="2023-08-27T00:00:00"/>
    <x v="3"/>
    <n v="4"/>
    <n v="120000"/>
    <m/>
    <m/>
    <n v="4"/>
    <n v="480000"/>
  </r>
  <r>
    <s v="KERJASAMA MITRA"/>
    <x v="2"/>
    <d v="2023-08-27T00:00:00"/>
    <x v="3"/>
    <n v="9"/>
    <n v="150000"/>
    <m/>
    <m/>
    <n v="9"/>
    <n v="1350000"/>
  </r>
  <r>
    <s v="KERJASAMA MITRA"/>
    <x v="4"/>
    <d v="2023-08-27T00:00:00"/>
    <x v="3"/>
    <n v="10"/>
    <n v="130000"/>
    <m/>
    <m/>
    <n v="10"/>
    <n v="1300000"/>
  </r>
  <r>
    <s v="KERJASAMA MITRA"/>
    <x v="5"/>
    <d v="2023-08-27T00:00:00"/>
    <x v="3"/>
    <n v="5"/>
    <n v="130000"/>
    <m/>
    <m/>
    <n v="5"/>
    <n v="650000"/>
  </r>
  <r>
    <s v="KERJASAMA MITRA"/>
    <x v="6"/>
    <d v="2023-08-27T00:00:00"/>
    <x v="3"/>
    <n v="89"/>
    <n v="130000"/>
    <m/>
    <m/>
    <n v="89"/>
    <n v="11570000"/>
  </r>
  <r>
    <s v="WALK IN"/>
    <x v="0"/>
    <d v="2023-08-28T00:00:00"/>
    <x v="3"/>
    <n v="37"/>
    <n v="120000"/>
    <m/>
    <m/>
    <n v="37"/>
    <n v="4440000"/>
  </r>
  <r>
    <s v="WALK IN"/>
    <x v="1"/>
    <d v="2023-08-28T00:00:00"/>
    <x v="3"/>
    <n v="6"/>
    <n v="120000"/>
    <m/>
    <m/>
    <n v="6"/>
    <n v="720000"/>
  </r>
  <r>
    <s v="WALK IN"/>
    <x v="8"/>
    <d v="2023-08-28T00:00:00"/>
    <x v="3"/>
    <n v="1"/>
    <n v="500000"/>
    <m/>
    <m/>
    <n v="1"/>
    <n v="500000"/>
  </r>
  <r>
    <s v="KERJASAMA MITRA"/>
    <x v="2"/>
    <d v="2023-08-28T00:00:00"/>
    <x v="3"/>
    <n v="6"/>
    <n v="150000"/>
    <m/>
    <m/>
    <n v="6"/>
    <n v="900000"/>
  </r>
  <r>
    <s v="KERJASAMA MITRA"/>
    <x v="4"/>
    <d v="2023-08-28T00:00:00"/>
    <x v="3"/>
    <n v="9"/>
    <n v="130000"/>
    <m/>
    <m/>
    <n v="9"/>
    <n v="1170000"/>
  </r>
  <r>
    <s v="KERJASAMA MITRA"/>
    <x v="5"/>
    <d v="2023-08-28T00:00:00"/>
    <x v="3"/>
    <n v="2"/>
    <n v="130000"/>
    <m/>
    <m/>
    <n v="2"/>
    <n v="260000"/>
  </r>
  <r>
    <s v="KERJASAMA MITRA"/>
    <x v="6"/>
    <d v="2023-08-28T00:00:00"/>
    <x v="3"/>
    <n v="67"/>
    <n v="130000"/>
    <m/>
    <m/>
    <n v="67"/>
    <n v="8710000"/>
  </r>
  <r>
    <s v="WALK IN"/>
    <x v="0"/>
    <d v="2023-08-29T00:00:00"/>
    <x v="3"/>
    <n v="28"/>
    <n v="120000"/>
    <m/>
    <m/>
    <n v="28"/>
    <n v="3360000"/>
  </r>
  <r>
    <s v="WALK IN"/>
    <x v="1"/>
    <d v="2023-08-29T00:00:00"/>
    <x v="3"/>
    <n v="6"/>
    <n v="120000"/>
    <m/>
    <m/>
    <n v="6"/>
    <n v="720000"/>
  </r>
  <r>
    <s v="KERJASAMA MITRA"/>
    <x v="2"/>
    <d v="2023-08-29T00:00:00"/>
    <x v="3"/>
    <n v="5"/>
    <n v="150000"/>
    <m/>
    <m/>
    <n v="5"/>
    <n v="750000"/>
  </r>
  <r>
    <s v="KERJASAMA MITRA"/>
    <x v="3"/>
    <d v="2023-08-29T00:00:00"/>
    <x v="3"/>
    <n v="2"/>
    <n v="130000"/>
    <m/>
    <m/>
    <n v="2"/>
    <n v="260000"/>
  </r>
  <r>
    <s v="KERJASAMA MITRA"/>
    <x v="4"/>
    <d v="2023-08-29T00:00:00"/>
    <x v="3"/>
    <n v="7"/>
    <n v="130000"/>
    <m/>
    <m/>
    <n v="7"/>
    <n v="910000"/>
  </r>
  <r>
    <s v="KERJASAMA MITRA"/>
    <x v="5"/>
    <d v="2023-08-29T00:00:00"/>
    <x v="3"/>
    <n v="3"/>
    <n v="130000"/>
    <m/>
    <m/>
    <n v="3"/>
    <n v="390000"/>
  </r>
  <r>
    <s v="KERJASAMA MITRA"/>
    <x v="6"/>
    <d v="2023-08-29T00:00:00"/>
    <x v="3"/>
    <n v="43"/>
    <n v="130000"/>
    <m/>
    <m/>
    <n v="43"/>
    <n v="5590000"/>
  </r>
  <r>
    <s v="WALK IN"/>
    <x v="0"/>
    <d v="2023-08-30T00:00:00"/>
    <x v="3"/>
    <n v="41"/>
    <n v="120000"/>
    <m/>
    <m/>
    <n v="41"/>
    <n v="4920000"/>
  </r>
  <r>
    <s v="WALK IN"/>
    <x v="1"/>
    <d v="2023-08-30T00:00:00"/>
    <x v="3"/>
    <n v="3"/>
    <n v="120000"/>
    <m/>
    <m/>
    <n v="3"/>
    <n v="370000"/>
  </r>
  <r>
    <s v="KERJASAMA MITRA"/>
    <x v="2"/>
    <d v="2023-08-30T00:00:00"/>
    <x v="3"/>
    <n v="2"/>
    <n v="150000"/>
    <m/>
    <m/>
    <n v="2"/>
    <n v="300000"/>
  </r>
  <r>
    <s v="KERJASAMA MITRA"/>
    <x v="4"/>
    <d v="2023-08-30T00:00:00"/>
    <x v="3"/>
    <n v="10"/>
    <n v="130000"/>
    <m/>
    <m/>
    <n v="10"/>
    <n v="1300000"/>
  </r>
  <r>
    <s v="KERJASAMA MITRA"/>
    <x v="5"/>
    <d v="2023-08-30T00:00:00"/>
    <x v="3"/>
    <n v="6"/>
    <n v="130000"/>
    <m/>
    <m/>
    <n v="6"/>
    <n v="780000"/>
  </r>
  <r>
    <s v="KERJASAMA MITRA"/>
    <x v="6"/>
    <d v="2023-08-30T00:00:00"/>
    <x v="3"/>
    <n v="56"/>
    <n v="130000"/>
    <m/>
    <m/>
    <n v="56"/>
    <n v="7280000"/>
  </r>
  <r>
    <s v="WALK IN"/>
    <x v="0"/>
    <d v="2023-08-31T00:00:00"/>
    <x v="3"/>
    <n v="68"/>
    <n v="120000"/>
    <m/>
    <m/>
    <n v="68"/>
    <n v="8160000"/>
  </r>
  <r>
    <s v="WALK IN"/>
    <x v="1"/>
    <d v="2023-08-31T00:00:00"/>
    <x v="3"/>
    <n v="9"/>
    <n v="120000"/>
    <m/>
    <m/>
    <n v="9"/>
    <n v="1080000"/>
  </r>
  <r>
    <s v="WALK IN"/>
    <x v="8"/>
    <d v="2023-08-31T00:00:00"/>
    <x v="3"/>
    <n v="1"/>
    <n v="500000"/>
    <m/>
    <m/>
    <n v="1"/>
    <n v="500000"/>
  </r>
  <r>
    <s v="KERJASAMA MITRA"/>
    <x v="2"/>
    <d v="2023-08-31T00:00:00"/>
    <x v="3"/>
    <n v="4"/>
    <n v="150000"/>
    <m/>
    <m/>
    <n v="4"/>
    <n v="600000"/>
  </r>
  <r>
    <s v="KERJASAMA MITRA"/>
    <x v="4"/>
    <d v="2023-08-31T00:00:00"/>
    <x v="3"/>
    <n v="6"/>
    <n v="130000"/>
    <m/>
    <m/>
    <n v="6"/>
    <n v="780000"/>
  </r>
  <r>
    <s v="KERJASAMA MITRA"/>
    <x v="5"/>
    <d v="2023-08-31T00:00:00"/>
    <x v="3"/>
    <n v="2"/>
    <n v="130000"/>
    <m/>
    <m/>
    <n v="2"/>
    <n v="260000"/>
  </r>
  <r>
    <s v="KERJASAMA MITRA"/>
    <x v="6"/>
    <d v="2023-08-31T00:00:00"/>
    <x v="3"/>
    <n v="77"/>
    <n v="130000"/>
    <m/>
    <m/>
    <n v="77"/>
    <n v="10010000"/>
  </r>
  <r>
    <s v="WALK IN"/>
    <x v="0"/>
    <d v="2023-09-01T00:00:00"/>
    <x v="4"/>
    <n v="82"/>
    <n v="120000"/>
    <m/>
    <m/>
    <n v="82"/>
    <n v="9840000"/>
  </r>
  <r>
    <s v="WALK IN"/>
    <x v="1"/>
    <d v="2023-09-01T00:00:00"/>
    <x v="4"/>
    <n v="5"/>
    <n v="120000"/>
    <m/>
    <m/>
    <n v="5"/>
    <n v="600000"/>
  </r>
  <r>
    <s v="WALK IN"/>
    <x v="8"/>
    <d v="2023-09-01T00:00:00"/>
    <x v="4"/>
    <n v="1"/>
    <n v="500000"/>
    <m/>
    <m/>
    <n v="1"/>
    <n v="500000"/>
  </r>
  <r>
    <s v="KERJASAMA MITRA"/>
    <x v="2"/>
    <d v="2023-09-01T00:00:00"/>
    <x v="4"/>
    <n v="4"/>
    <n v="150000"/>
    <m/>
    <m/>
    <n v="4"/>
    <n v="600000"/>
  </r>
  <r>
    <s v="KERJASAMA MITRA"/>
    <x v="3"/>
    <d v="2023-09-01T00:00:00"/>
    <x v="4"/>
    <n v="2"/>
    <n v="130000"/>
    <m/>
    <m/>
    <n v="2"/>
    <n v="260000"/>
  </r>
  <r>
    <s v="KERJASAMA MITRA"/>
    <x v="4"/>
    <d v="2023-09-01T00:00:00"/>
    <x v="4"/>
    <n v="7"/>
    <n v="130000"/>
    <m/>
    <m/>
    <n v="7"/>
    <n v="910000"/>
  </r>
  <r>
    <s v="KERJASAMA MITRA"/>
    <x v="5"/>
    <d v="2023-09-01T00:00:00"/>
    <x v="4"/>
    <n v="5"/>
    <n v="130000"/>
    <m/>
    <m/>
    <n v="5"/>
    <n v="650000"/>
  </r>
  <r>
    <s v="KERJASAMA MITRA"/>
    <x v="6"/>
    <d v="2023-09-01T00:00:00"/>
    <x v="4"/>
    <n v="84"/>
    <n v="130000"/>
    <m/>
    <m/>
    <n v="84"/>
    <n v="10920000"/>
  </r>
  <r>
    <s v="WALK IN"/>
    <x v="0"/>
    <d v="2023-09-02T00:00:00"/>
    <x v="4"/>
    <n v="87"/>
    <n v="120000"/>
    <m/>
    <m/>
    <n v="87"/>
    <n v="10440000"/>
  </r>
  <r>
    <s v="WALK IN"/>
    <x v="1"/>
    <d v="2023-09-02T00:00:00"/>
    <x v="4"/>
    <n v="10"/>
    <n v="120000"/>
    <m/>
    <m/>
    <n v="10"/>
    <n v="1200000"/>
  </r>
  <r>
    <s v="KERJASAMA MITRA"/>
    <x v="2"/>
    <d v="2023-09-02T00:00:00"/>
    <x v="4"/>
    <n v="1"/>
    <n v="150000"/>
    <m/>
    <m/>
    <n v="1"/>
    <n v="150000"/>
  </r>
  <r>
    <s v="KERJASAMA MITRA"/>
    <x v="4"/>
    <d v="2023-09-02T00:00:00"/>
    <x v="4"/>
    <n v="10"/>
    <n v="130000"/>
    <m/>
    <m/>
    <n v="10"/>
    <n v="1300000"/>
  </r>
  <r>
    <s v="KERJASAMA MITRA"/>
    <x v="5"/>
    <d v="2023-09-02T00:00:00"/>
    <x v="4"/>
    <n v="3"/>
    <n v="130000"/>
    <m/>
    <m/>
    <n v="3"/>
    <n v="390000"/>
  </r>
  <r>
    <s v="KERJASAMA MITRA"/>
    <x v="6"/>
    <d v="2023-09-02T00:00:00"/>
    <x v="4"/>
    <n v="48"/>
    <n v="130000"/>
    <m/>
    <m/>
    <n v="48"/>
    <n v="6240000"/>
  </r>
  <r>
    <s v="WALK IN"/>
    <x v="0"/>
    <d v="2023-09-03T00:00:00"/>
    <x v="4"/>
    <n v="110"/>
    <n v="120000"/>
    <m/>
    <m/>
    <n v="110"/>
    <n v="13200000"/>
  </r>
  <r>
    <s v="WALK IN"/>
    <x v="1"/>
    <d v="2023-09-03T00:00:00"/>
    <x v="4"/>
    <n v="5"/>
    <n v="120000"/>
    <m/>
    <m/>
    <n v="5"/>
    <n v="600000"/>
  </r>
  <r>
    <s v="KERJASAMA MITRA"/>
    <x v="2"/>
    <d v="2023-09-03T00:00:00"/>
    <x v="4"/>
    <n v="4"/>
    <n v="150000"/>
    <m/>
    <m/>
    <n v="4"/>
    <n v="600000"/>
  </r>
  <r>
    <s v="KERJASAMA MITRA"/>
    <x v="4"/>
    <d v="2023-09-03T00:00:00"/>
    <x v="4"/>
    <n v="11"/>
    <n v="130000"/>
    <m/>
    <m/>
    <n v="11"/>
    <n v="1430000"/>
  </r>
  <r>
    <s v="KERJASAMA MITRA"/>
    <x v="5"/>
    <d v="2023-09-03T00:00:00"/>
    <x v="4"/>
    <n v="8"/>
    <n v="130000"/>
    <m/>
    <m/>
    <n v="8"/>
    <n v="1040000"/>
  </r>
  <r>
    <s v="KERJASAMA MITRA"/>
    <x v="6"/>
    <d v="2023-09-03T00:00:00"/>
    <x v="4"/>
    <n v="104"/>
    <n v="130000"/>
    <m/>
    <m/>
    <n v="104"/>
    <n v="13520000"/>
  </r>
  <r>
    <s v="WALK IN"/>
    <x v="0"/>
    <d v="2023-09-04T00:00:00"/>
    <x v="4"/>
    <n v="83"/>
    <n v="120000"/>
    <m/>
    <m/>
    <n v="83"/>
    <n v="9960000"/>
  </r>
  <r>
    <s v="WALK IN"/>
    <x v="8"/>
    <d v="2023-09-04T00:00:00"/>
    <x v="4"/>
    <n v="1"/>
    <n v="500000"/>
    <m/>
    <m/>
    <n v="1"/>
    <n v="500000"/>
  </r>
  <r>
    <s v="HARPELNAS"/>
    <x v="0"/>
    <d v="2023-09-04T00:00:00"/>
    <x v="4"/>
    <n v="11"/>
    <m/>
    <m/>
    <m/>
    <n v="11"/>
    <n v="0"/>
  </r>
  <r>
    <s v="WALK IN"/>
    <x v="1"/>
    <d v="2023-09-04T00:00:00"/>
    <x v="4"/>
    <n v="6"/>
    <n v="120000"/>
    <m/>
    <m/>
    <n v="6"/>
    <n v="720000"/>
  </r>
  <r>
    <s v="KERJASAMA MITRA"/>
    <x v="2"/>
    <d v="2023-09-04T00:00:00"/>
    <x v="4"/>
    <n v="4"/>
    <n v="150000"/>
    <m/>
    <m/>
    <n v="4"/>
    <n v="600000"/>
  </r>
  <r>
    <s v="KERJASAMA MITRA"/>
    <x v="4"/>
    <d v="2023-09-04T00:00:00"/>
    <x v="4"/>
    <n v="18"/>
    <n v="130000"/>
    <m/>
    <m/>
    <n v="18"/>
    <n v="2340000"/>
  </r>
  <r>
    <s v="KERJASAMA MITRA"/>
    <x v="5"/>
    <d v="2023-09-04T00:00:00"/>
    <x v="4"/>
    <n v="8"/>
    <n v="130000"/>
    <m/>
    <m/>
    <n v="8"/>
    <n v="1040000"/>
  </r>
  <r>
    <s v="KERJASAMA MITRA"/>
    <x v="6"/>
    <d v="2023-09-04T00:00:00"/>
    <x v="4"/>
    <n v="72"/>
    <n v="130000"/>
    <m/>
    <m/>
    <n v="72"/>
    <n v="9360000"/>
  </r>
  <r>
    <s v="WALK IN"/>
    <x v="0"/>
    <d v="2023-09-05T00:00:00"/>
    <x v="4"/>
    <n v="90"/>
    <n v="120000"/>
    <m/>
    <m/>
    <n v="90"/>
    <n v="10800000"/>
  </r>
  <r>
    <s v="WALK IN"/>
    <x v="1"/>
    <d v="2023-09-05T00:00:00"/>
    <x v="4"/>
    <n v="7"/>
    <n v="120000"/>
    <m/>
    <m/>
    <n v="7"/>
    <n v="840000"/>
  </r>
  <r>
    <s v="KERJASAMA MITRA"/>
    <x v="2"/>
    <d v="2023-09-05T00:00:00"/>
    <x v="4"/>
    <n v="4"/>
    <n v="150000"/>
    <m/>
    <m/>
    <n v="4"/>
    <n v="600000"/>
  </r>
  <r>
    <s v="KERJASAMA MITRA"/>
    <x v="3"/>
    <d v="2023-09-05T00:00:00"/>
    <x v="4"/>
    <n v="1"/>
    <n v="130000"/>
    <m/>
    <m/>
    <n v="1"/>
    <n v="130000"/>
  </r>
  <r>
    <s v="KERJASAMA MITRA"/>
    <x v="4"/>
    <d v="2023-09-05T00:00:00"/>
    <x v="4"/>
    <n v="5"/>
    <n v="130000"/>
    <m/>
    <m/>
    <n v="5"/>
    <n v="650000"/>
  </r>
  <r>
    <s v="KERJASAMA MITRA"/>
    <x v="5"/>
    <d v="2023-09-05T00:00:00"/>
    <x v="4"/>
    <n v="4"/>
    <n v="130000"/>
    <m/>
    <m/>
    <n v="4"/>
    <n v="520000"/>
  </r>
  <r>
    <s v="KERJASAMA MITRA"/>
    <x v="6"/>
    <d v="2023-09-05T00:00:00"/>
    <x v="4"/>
    <n v="42"/>
    <n v="130000"/>
    <m/>
    <m/>
    <n v="42"/>
    <n v="5460000"/>
  </r>
  <r>
    <s v="KERJASAMA MITRA"/>
    <x v="7"/>
    <d v="2023-09-05T00:00:00"/>
    <x v="4"/>
    <n v="13"/>
    <n v="110000"/>
    <m/>
    <m/>
    <n v="13"/>
    <n v="1430000"/>
  </r>
  <r>
    <s v="WALK IN"/>
    <x v="0"/>
    <d v="2023-09-06T00:00:00"/>
    <x v="4"/>
    <n v="74"/>
    <n v="120000"/>
    <m/>
    <m/>
    <n v="74"/>
    <n v="8880000"/>
  </r>
  <r>
    <s v="WALK IN"/>
    <x v="1"/>
    <d v="2023-09-06T00:00:00"/>
    <x v="4"/>
    <n v="6"/>
    <n v="120000"/>
    <m/>
    <m/>
    <n v="6"/>
    <n v="720000"/>
  </r>
  <r>
    <s v="WALK IN"/>
    <x v="8"/>
    <d v="2023-09-06T00:00:00"/>
    <x v="4"/>
    <n v="1"/>
    <n v="1000000"/>
    <m/>
    <m/>
    <n v="1"/>
    <n v="1000000"/>
  </r>
  <r>
    <s v="KERJASAMA MITRA"/>
    <x v="3"/>
    <d v="2023-09-06T00:00:00"/>
    <x v="4"/>
    <n v="5"/>
    <n v="130000"/>
    <m/>
    <m/>
    <n v="5"/>
    <n v="650000"/>
  </r>
  <r>
    <s v="KERJASAMA MITRA"/>
    <x v="4"/>
    <d v="2023-09-06T00:00:00"/>
    <x v="4"/>
    <n v="16"/>
    <n v="130000"/>
    <m/>
    <m/>
    <n v="16"/>
    <n v="2080000"/>
  </r>
  <r>
    <s v="KERJASAMA MITRA"/>
    <x v="5"/>
    <d v="2023-09-06T00:00:00"/>
    <x v="4"/>
    <n v="3"/>
    <n v="130000"/>
    <m/>
    <m/>
    <n v="3"/>
    <n v="390000"/>
  </r>
  <r>
    <s v="KERJASAMA MITRA"/>
    <x v="6"/>
    <d v="2023-09-06T00:00:00"/>
    <x v="4"/>
    <n v="48"/>
    <n v="130000"/>
    <m/>
    <m/>
    <n v="48"/>
    <n v="6240000"/>
  </r>
  <r>
    <s v="KERJASAMA MITRA"/>
    <x v="7"/>
    <d v="2023-09-06T00:00:00"/>
    <x v="4"/>
    <n v="1"/>
    <n v="110000"/>
    <m/>
    <m/>
    <n v="1"/>
    <n v="110000"/>
  </r>
  <r>
    <s v="WALK IN"/>
    <x v="0"/>
    <d v="2023-09-07T00:00:00"/>
    <x v="4"/>
    <n v="96"/>
    <n v="120000"/>
    <m/>
    <m/>
    <n v="96"/>
    <n v="11520000"/>
  </r>
  <r>
    <s v="WALK IN"/>
    <x v="1"/>
    <d v="2023-09-07T00:00:00"/>
    <x v="4"/>
    <n v="22"/>
    <n v="120000"/>
    <m/>
    <m/>
    <n v="22"/>
    <n v="2640000"/>
  </r>
  <r>
    <s v="KERJASAMA MITRA"/>
    <x v="2"/>
    <d v="2023-09-07T00:00:00"/>
    <x v="4"/>
    <n v="3"/>
    <n v="150000"/>
    <m/>
    <m/>
    <n v="3"/>
    <n v="450000"/>
  </r>
  <r>
    <s v="KERJASAMA MITRA"/>
    <x v="3"/>
    <d v="2023-09-07T00:00:00"/>
    <x v="4"/>
    <n v="2"/>
    <n v="130000"/>
    <m/>
    <m/>
    <n v="2"/>
    <n v="260000"/>
  </r>
  <r>
    <s v="KERJASAMA MITRA"/>
    <x v="4"/>
    <d v="2023-09-07T00:00:00"/>
    <x v="4"/>
    <n v="19"/>
    <n v="130000"/>
    <m/>
    <m/>
    <n v="19"/>
    <n v="2470000"/>
  </r>
  <r>
    <s v="KERJASAMA MITRA"/>
    <x v="5"/>
    <d v="2023-09-07T00:00:00"/>
    <x v="4"/>
    <n v="4"/>
    <n v="130000"/>
    <m/>
    <m/>
    <n v="4"/>
    <n v="520000"/>
  </r>
  <r>
    <s v="KERJASAMA MITRA"/>
    <x v="6"/>
    <d v="2023-09-07T00:00:00"/>
    <x v="4"/>
    <n v="72"/>
    <n v="130000"/>
    <m/>
    <m/>
    <n v="72"/>
    <n v="9360000"/>
  </r>
  <r>
    <s v="KERJASAMA MITRA"/>
    <x v="7"/>
    <d v="2023-09-07T00:00:00"/>
    <x v="4"/>
    <n v="1"/>
    <n v="110000"/>
    <m/>
    <m/>
    <n v="1"/>
    <n v="110000"/>
  </r>
  <r>
    <s v="WALK IN"/>
    <x v="0"/>
    <d v="2023-09-08T00:00:00"/>
    <x v="4"/>
    <n v="76"/>
    <n v="120000"/>
    <m/>
    <m/>
    <n v="76"/>
    <n v="9140000"/>
  </r>
  <r>
    <s v="WALK IN"/>
    <x v="1"/>
    <d v="2023-09-08T00:00:00"/>
    <x v="4"/>
    <n v="10"/>
    <n v="120000"/>
    <m/>
    <m/>
    <n v="10"/>
    <n v="1200000"/>
  </r>
  <r>
    <s v="KERJASAMA MITRA"/>
    <x v="2"/>
    <d v="2023-09-08T00:00:00"/>
    <x v="4"/>
    <n v="3"/>
    <n v="150000"/>
    <m/>
    <m/>
    <n v="3"/>
    <n v="450000"/>
  </r>
  <r>
    <s v="KERJASAMA MITRA"/>
    <x v="3"/>
    <d v="2023-09-08T00:00:00"/>
    <x v="4"/>
    <n v="6"/>
    <n v="130000"/>
    <m/>
    <m/>
    <n v="6"/>
    <n v="780000"/>
  </r>
  <r>
    <s v="KERJASAMA MITRA"/>
    <x v="4"/>
    <d v="2023-09-08T00:00:00"/>
    <x v="4"/>
    <n v="15"/>
    <n v="130000"/>
    <m/>
    <m/>
    <n v="15"/>
    <n v="1950000"/>
  </r>
  <r>
    <s v="KERJASAMA MITRA"/>
    <x v="5"/>
    <d v="2023-09-08T00:00:00"/>
    <x v="4"/>
    <n v="9"/>
    <n v="130000"/>
    <m/>
    <m/>
    <n v="9"/>
    <n v="1170000"/>
  </r>
  <r>
    <s v="KERJASAMA MITRA"/>
    <x v="6"/>
    <d v="2023-09-08T00:00:00"/>
    <x v="4"/>
    <n v="59"/>
    <n v="130000"/>
    <m/>
    <m/>
    <n v="59"/>
    <n v="7670000"/>
  </r>
  <r>
    <s v="KERJASAMA MITRA"/>
    <x v="7"/>
    <d v="2023-09-08T00:00:00"/>
    <x v="4"/>
    <n v="1"/>
    <n v="110000"/>
    <m/>
    <m/>
    <n v="1"/>
    <n v="110000"/>
  </r>
  <r>
    <s v="WALK IN"/>
    <x v="0"/>
    <d v="2023-09-09T00:00:00"/>
    <x v="4"/>
    <n v="59"/>
    <n v="120000"/>
    <m/>
    <m/>
    <n v="59"/>
    <n v="7080000"/>
  </r>
  <r>
    <s v="WALK IN"/>
    <x v="1"/>
    <d v="2023-09-09T00:00:00"/>
    <x v="4"/>
    <n v="4"/>
    <n v="120000"/>
    <m/>
    <m/>
    <n v="4"/>
    <n v="480000"/>
  </r>
  <r>
    <s v="KERJASAMA MITRA"/>
    <x v="2"/>
    <d v="2023-09-09T00:00:00"/>
    <x v="4"/>
    <n v="9"/>
    <n v="150000"/>
    <m/>
    <m/>
    <n v="9"/>
    <n v="1350000"/>
  </r>
  <r>
    <s v="KERJASAMA MITRA"/>
    <x v="4"/>
    <d v="2023-09-09T00:00:00"/>
    <x v="4"/>
    <n v="8"/>
    <n v="130000"/>
    <m/>
    <m/>
    <n v="8"/>
    <n v="1040000"/>
  </r>
  <r>
    <s v="KERJASAMA MITRA"/>
    <x v="5"/>
    <d v="2023-09-09T00:00:00"/>
    <x v="4"/>
    <n v="4"/>
    <n v="130000"/>
    <m/>
    <m/>
    <n v="4"/>
    <n v="520000"/>
  </r>
  <r>
    <s v="KERJASAMA MITRA"/>
    <x v="6"/>
    <d v="2023-09-09T00:00:00"/>
    <x v="4"/>
    <n v="48"/>
    <n v="130000"/>
    <m/>
    <m/>
    <n v="48"/>
    <n v="6240000"/>
  </r>
  <r>
    <s v="WALK IN"/>
    <x v="0"/>
    <d v="2023-09-10T00:00:00"/>
    <x v="4"/>
    <n v="74"/>
    <n v="120000"/>
    <m/>
    <m/>
    <n v="74"/>
    <n v="8880000"/>
  </r>
  <r>
    <s v="WALK IN"/>
    <x v="1"/>
    <d v="2023-09-10T00:00:00"/>
    <x v="4"/>
    <n v="1"/>
    <n v="120000"/>
    <m/>
    <m/>
    <n v="1"/>
    <n v="120000"/>
  </r>
  <r>
    <s v="KERJASAMA MITRA"/>
    <x v="4"/>
    <d v="2023-09-10T00:00:00"/>
    <x v="4"/>
    <n v="5"/>
    <n v="130000"/>
    <m/>
    <m/>
    <n v="5"/>
    <n v="650000"/>
  </r>
  <r>
    <s v="KERJASAMA MITRA"/>
    <x v="5"/>
    <d v="2023-09-10T00:00:00"/>
    <x v="4"/>
    <n v="3"/>
    <n v="130000"/>
    <m/>
    <m/>
    <n v="3"/>
    <n v="390000"/>
  </r>
  <r>
    <s v="KERJASAMA MITRA"/>
    <x v="6"/>
    <d v="2023-09-10T00:00:00"/>
    <x v="4"/>
    <n v="57"/>
    <n v="130000"/>
    <m/>
    <m/>
    <n v="57"/>
    <n v="7410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">
  <r>
    <s v="WALK IN"/>
    <x v="0"/>
    <d v="2023-05-11T00:00:00"/>
    <x v="0"/>
    <n v="46"/>
    <n v="99000"/>
    <m/>
    <m/>
    <n v="46"/>
    <n v="4554000"/>
    <m/>
    <m/>
  </r>
  <r>
    <s v="WALK IN"/>
    <x v="1"/>
    <d v="2023-05-11T00:00:00"/>
    <x v="0"/>
    <n v="1"/>
    <n v="99000"/>
    <m/>
    <m/>
    <n v="1"/>
    <n v="99000"/>
    <m/>
    <m/>
  </r>
  <r>
    <s v="WALK IN"/>
    <x v="0"/>
    <d v="2023-05-12T00:00:00"/>
    <x v="0"/>
    <n v="171"/>
    <n v="99000"/>
    <m/>
    <m/>
    <n v="171"/>
    <n v="16929000"/>
    <m/>
    <m/>
  </r>
  <r>
    <s v="WALK IN"/>
    <x v="0"/>
    <d v="2023-05-13T00:00:00"/>
    <x v="0"/>
    <n v="98"/>
    <n v="99000"/>
    <m/>
    <m/>
    <n v="98"/>
    <n v="9702000"/>
    <m/>
    <m/>
  </r>
  <r>
    <s v="WALK IN"/>
    <x v="1"/>
    <d v="2023-05-13T00:00:00"/>
    <x v="0"/>
    <n v="4"/>
    <n v="99000"/>
    <m/>
    <m/>
    <n v="4"/>
    <n v="396000"/>
    <m/>
    <m/>
  </r>
  <r>
    <s v="WALK IN"/>
    <x v="0"/>
    <d v="2023-05-14T00:00:00"/>
    <x v="0"/>
    <n v="121"/>
    <n v="99000"/>
    <m/>
    <m/>
    <n v="121"/>
    <n v="11979000"/>
    <m/>
    <m/>
  </r>
  <r>
    <s v="WALK IN"/>
    <x v="1"/>
    <d v="2023-05-14T00:00:00"/>
    <x v="0"/>
    <n v="12"/>
    <n v="99000"/>
    <m/>
    <m/>
    <n v="12"/>
    <n v="1188000"/>
    <m/>
    <m/>
  </r>
  <r>
    <s v="WALK IN"/>
    <x v="0"/>
    <d v="2023-05-15T00:00:00"/>
    <x v="0"/>
    <n v="65"/>
    <n v="99000"/>
    <m/>
    <m/>
    <n v="65"/>
    <n v="6435000"/>
    <m/>
    <m/>
  </r>
  <r>
    <s v="WALK IN"/>
    <x v="1"/>
    <d v="2023-05-15T00:00:00"/>
    <x v="0"/>
    <n v="32"/>
    <n v="99000"/>
    <m/>
    <m/>
    <n v="32"/>
    <n v="3168000"/>
    <m/>
    <m/>
  </r>
  <r>
    <s v="WALK IN"/>
    <x v="0"/>
    <d v="2023-05-16T00:00:00"/>
    <x v="0"/>
    <n v="81"/>
    <n v="99000"/>
    <m/>
    <m/>
    <n v="81"/>
    <n v="8019000"/>
    <m/>
    <m/>
  </r>
  <r>
    <s v="WALK IN"/>
    <x v="1"/>
    <d v="2023-05-16T00:00:00"/>
    <x v="0"/>
    <n v="10"/>
    <n v="99000"/>
    <m/>
    <m/>
    <n v="10"/>
    <n v="990000"/>
    <m/>
    <m/>
  </r>
  <r>
    <s v="WALK IN"/>
    <x v="0"/>
    <d v="2023-05-17T00:00:00"/>
    <x v="0"/>
    <n v="136"/>
    <n v="99000"/>
    <m/>
    <m/>
    <n v="136"/>
    <n v="13464000"/>
    <m/>
    <m/>
  </r>
  <r>
    <s v="WALK IN"/>
    <x v="1"/>
    <d v="2023-05-17T00:00:00"/>
    <x v="0"/>
    <n v="28"/>
    <n v="99000"/>
    <m/>
    <m/>
    <n v="28"/>
    <n v="2772000"/>
    <m/>
    <m/>
  </r>
  <r>
    <s v="WALK IN"/>
    <x v="0"/>
    <d v="2023-05-18T00:00:00"/>
    <x v="0"/>
    <n v="133"/>
    <n v="99000"/>
    <m/>
    <m/>
    <n v="133"/>
    <n v="13167000"/>
    <m/>
    <m/>
  </r>
  <r>
    <s v="WALK IN"/>
    <x v="1"/>
    <d v="2023-05-18T00:00:00"/>
    <x v="0"/>
    <n v="34"/>
    <n v="99000"/>
    <m/>
    <m/>
    <n v="34"/>
    <n v="3366000"/>
    <m/>
    <m/>
  </r>
  <r>
    <s v="WALK IN"/>
    <x v="0"/>
    <d v="2023-05-19T00:00:00"/>
    <x v="0"/>
    <n v="125"/>
    <n v="99000"/>
    <m/>
    <m/>
    <n v="125"/>
    <n v="12375000"/>
    <m/>
    <m/>
  </r>
  <r>
    <s v="WALK IN"/>
    <x v="1"/>
    <d v="2023-05-19T00:00:00"/>
    <x v="0"/>
    <n v="14"/>
    <n v="99000"/>
    <m/>
    <m/>
    <n v="14"/>
    <n v="1386000"/>
    <m/>
    <m/>
  </r>
  <r>
    <s v="WALK IN"/>
    <x v="0"/>
    <d v="2023-05-20T00:00:00"/>
    <x v="0"/>
    <n v="86"/>
    <n v="99000"/>
    <m/>
    <m/>
    <n v="86"/>
    <n v="8514000"/>
    <m/>
    <m/>
  </r>
  <r>
    <s v="WALK IN"/>
    <x v="1"/>
    <d v="2023-05-20T00:00:00"/>
    <x v="0"/>
    <n v="10"/>
    <n v="99000"/>
    <m/>
    <m/>
    <n v="10"/>
    <n v="990000"/>
    <m/>
    <m/>
  </r>
  <r>
    <s v="WALK IN"/>
    <x v="0"/>
    <d v="2023-05-21T00:00:00"/>
    <x v="0"/>
    <n v="89"/>
    <n v="99000"/>
    <m/>
    <m/>
    <n v="89"/>
    <n v="8811000"/>
    <m/>
    <m/>
  </r>
  <r>
    <s v="WALK IN"/>
    <x v="1"/>
    <d v="2023-05-21T00:00:00"/>
    <x v="0"/>
    <n v="17"/>
    <n v="99000"/>
    <m/>
    <m/>
    <n v="17"/>
    <n v="1683000"/>
    <m/>
    <m/>
  </r>
  <r>
    <s v="WALK IN"/>
    <x v="0"/>
    <d v="2023-05-22T00:00:00"/>
    <x v="0"/>
    <n v="73"/>
    <n v="99000"/>
    <m/>
    <m/>
    <n v="73"/>
    <n v="7227000"/>
    <m/>
    <m/>
  </r>
  <r>
    <s v="WALK IN"/>
    <x v="1"/>
    <d v="2023-05-22T00:00:00"/>
    <x v="0"/>
    <n v="14"/>
    <n v="99000"/>
    <m/>
    <m/>
    <n v="14"/>
    <n v="1386000"/>
    <m/>
    <m/>
  </r>
  <r>
    <s v="WALK IN"/>
    <x v="0"/>
    <d v="2023-05-23T00:00:00"/>
    <x v="0"/>
    <n v="56"/>
    <n v="99000"/>
    <m/>
    <m/>
    <n v="56"/>
    <n v="5544000"/>
    <m/>
    <m/>
  </r>
  <r>
    <s v="WALK IN"/>
    <x v="1"/>
    <d v="2023-05-23T00:00:00"/>
    <x v="0"/>
    <n v="14"/>
    <n v="99000"/>
    <m/>
    <m/>
    <n v="14"/>
    <n v="1386000"/>
    <m/>
    <m/>
  </r>
  <r>
    <s v="WALK IN"/>
    <x v="0"/>
    <d v="2023-05-24T00:00:00"/>
    <x v="0"/>
    <n v="77"/>
    <n v="99000"/>
    <m/>
    <m/>
    <n v="77"/>
    <n v="7623000"/>
    <m/>
    <m/>
  </r>
  <r>
    <s v="WALK IN"/>
    <x v="1"/>
    <d v="2023-05-24T00:00:00"/>
    <x v="0"/>
    <n v="7"/>
    <n v="99000"/>
    <m/>
    <m/>
    <n v="7"/>
    <n v="693000"/>
    <m/>
    <m/>
  </r>
  <r>
    <s v="WALK IN"/>
    <x v="0"/>
    <d v="2023-05-25T00:00:00"/>
    <x v="0"/>
    <n v="127"/>
    <n v="99000"/>
    <m/>
    <m/>
    <n v="127"/>
    <n v="12573000"/>
    <m/>
    <m/>
  </r>
  <r>
    <s v="WALK IN"/>
    <x v="1"/>
    <d v="2023-05-25T00:00:00"/>
    <x v="0"/>
    <n v="17"/>
    <n v="99000"/>
    <m/>
    <m/>
    <n v="17"/>
    <n v="1683000"/>
    <m/>
    <m/>
  </r>
  <r>
    <s v="WALK IN"/>
    <x v="0"/>
    <d v="2023-05-26T00:00:00"/>
    <x v="0"/>
    <n v="158"/>
    <n v="99000"/>
    <m/>
    <m/>
    <n v="158"/>
    <n v="15642000"/>
    <m/>
    <m/>
  </r>
  <r>
    <s v="WALK IN"/>
    <x v="1"/>
    <d v="2023-05-26T00:00:00"/>
    <x v="0"/>
    <n v="18"/>
    <n v="99000"/>
    <m/>
    <m/>
    <n v="18"/>
    <n v="1782000"/>
    <m/>
    <m/>
  </r>
  <r>
    <s v="WALK IN"/>
    <x v="0"/>
    <d v="2023-05-27T00:00:00"/>
    <x v="0"/>
    <n v="94"/>
    <n v="99000"/>
    <m/>
    <m/>
    <n v="94"/>
    <n v="9306000"/>
    <m/>
    <m/>
  </r>
  <r>
    <s v="WALK IN"/>
    <x v="1"/>
    <d v="2023-05-27T00:00:00"/>
    <x v="0"/>
    <n v="5"/>
    <n v="99000"/>
    <m/>
    <m/>
    <n v="5"/>
    <n v="495000"/>
    <m/>
    <m/>
  </r>
  <r>
    <s v="WALK IN"/>
    <x v="0"/>
    <d v="2023-05-28T00:00:00"/>
    <x v="0"/>
    <n v="104"/>
    <n v="99000"/>
    <m/>
    <m/>
    <n v="104"/>
    <n v="10296000"/>
    <m/>
    <m/>
  </r>
  <r>
    <s v="WALK IN"/>
    <x v="1"/>
    <d v="2023-05-28T00:00:00"/>
    <x v="0"/>
    <n v="6"/>
    <n v="99000"/>
    <m/>
    <m/>
    <n v="6"/>
    <n v="594000"/>
    <m/>
    <m/>
  </r>
  <r>
    <s v="WALK IN"/>
    <x v="0"/>
    <d v="2023-05-29T00:00:00"/>
    <x v="0"/>
    <n v="77"/>
    <n v="99000"/>
    <m/>
    <m/>
    <n v="77"/>
    <n v="7623000"/>
    <m/>
    <m/>
  </r>
  <r>
    <s v="WALK IN"/>
    <x v="1"/>
    <d v="2023-05-29T00:00:00"/>
    <x v="0"/>
    <n v="32"/>
    <n v="99000"/>
    <m/>
    <m/>
    <n v="32"/>
    <n v="3168000"/>
    <m/>
    <m/>
  </r>
  <r>
    <s v="WALK IN"/>
    <x v="0"/>
    <d v="2023-05-30T00:00:00"/>
    <x v="0"/>
    <n v="81"/>
    <n v="99000"/>
    <m/>
    <m/>
    <n v="81"/>
    <n v="8019000"/>
    <m/>
    <m/>
  </r>
  <r>
    <s v="WALK IN"/>
    <x v="1"/>
    <d v="2023-05-30T00:00:00"/>
    <x v="0"/>
    <n v="32"/>
    <n v="99000"/>
    <m/>
    <m/>
    <n v="32"/>
    <n v="3168000"/>
    <m/>
    <m/>
  </r>
  <r>
    <s v="WALK IN"/>
    <x v="0"/>
    <d v="2023-05-31T00:00:00"/>
    <x v="0"/>
    <n v="126"/>
    <n v="99000"/>
    <m/>
    <m/>
    <n v="126"/>
    <n v="12474000"/>
    <m/>
    <m/>
  </r>
  <r>
    <s v="WALK IN"/>
    <x v="1"/>
    <d v="2023-05-31T00:00:00"/>
    <x v="0"/>
    <n v="16"/>
    <n v="99000"/>
    <m/>
    <m/>
    <n v="16"/>
    <n v="1584000"/>
    <m/>
    <m/>
  </r>
  <r>
    <s v="WALK IN"/>
    <x v="0"/>
    <d v="2023-06-01T00:00:00"/>
    <x v="1"/>
    <n v="153"/>
    <n v="99000"/>
    <m/>
    <m/>
    <n v="153"/>
    <n v="15147000"/>
    <m/>
    <m/>
  </r>
  <r>
    <s v="WALK IN"/>
    <x v="1"/>
    <d v="2023-06-01T00:00:00"/>
    <x v="1"/>
    <n v="17"/>
    <n v="99000"/>
    <m/>
    <m/>
    <n v="17"/>
    <n v="1683000"/>
    <m/>
    <m/>
  </r>
  <r>
    <s v="WALK IN"/>
    <x v="0"/>
    <d v="2023-06-02T00:00:00"/>
    <x v="1"/>
    <n v="87"/>
    <n v="99000"/>
    <m/>
    <m/>
    <n v="87"/>
    <n v="8613000"/>
    <m/>
    <m/>
  </r>
  <r>
    <s v="WALK IN"/>
    <x v="1"/>
    <d v="2023-06-02T00:00:00"/>
    <x v="1"/>
    <n v="15"/>
    <n v="99000"/>
    <m/>
    <m/>
    <n v="15"/>
    <n v="1485000"/>
    <m/>
    <m/>
  </r>
  <r>
    <s v="KERJASAMA MITRA"/>
    <x v="2"/>
    <d v="2023-06-02T00:00:00"/>
    <x v="1"/>
    <n v="1"/>
    <n v="150000"/>
    <m/>
    <m/>
    <n v="1"/>
    <n v="150000"/>
    <m/>
    <m/>
  </r>
  <r>
    <s v="WALK IN"/>
    <x v="0"/>
    <d v="2023-06-03T00:00:00"/>
    <x v="1"/>
    <n v="65"/>
    <n v="99000"/>
    <m/>
    <m/>
    <n v="65"/>
    <n v="6435000"/>
    <m/>
    <m/>
  </r>
  <r>
    <s v="WALK IN"/>
    <x v="1"/>
    <d v="2023-06-03T00:00:00"/>
    <x v="1"/>
    <n v="2"/>
    <n v="99000"/>
    <m/>
    <m/>
    <n v="2"/>
    <n v="198000"/>
    <m/>
    <m/>
  </r>
  <r>
    <s v="KERJASAMA MITRA"/>
    <x v="2"/>
    <d v="2023-06-03T00:00:00"/>
    <x v="1"/>
    <n v="1"/>
    <n v="150000"/>
    <m/>
    <m/>
    <n v="1"/>
    <n v="150000"/>
    <m/>
    <m/>
  </r>
  <r>
    <s v="WALK IN"/>
    <x v="0"/>
    <d v="2023-06-04T00:00:00"/>
    <x v="1"/>
    <n v="115"/>
    <n v="99000"/>
    <m/>
    <m/>
    <n v="115"/>
    <n v="11385000"/>
    <m/>
    <m/>
  </r>
  <r>
    <s v="KERJASAMA MITRA"/>
    <x v="2"/>
    <d v="2023-06-04T00:00:00"/>
    <x v="1"/>
    <n v="1"/>
    <n v="150000"/>
    <m/>
    <m/>
    <n v="1"/>
    <n v="150000"/>
    <m/>
    <m/>
  </r>
  <r>
    <s v="WALK IN"/>
    <x v="0"/>
    <d v="2023-06-05T00:00:00"/>
    <x v="1"/>
    <n v="140"/>
    <n v="99000"/>
    <m/>
    <m/>
    <n v="140"/>
    <n v="13860000"/>
    <m/>
    <m/>
  </r>
  <r>
    <s v="WALK IN"/>
    <x v="1"/>
    <d v="2023-06-05T00:00:00"/>
    <x v="1"/>
    <n v="15"/>
    <n v="99000"/>
    <m/>
    <m/>
    <n v="15"/>
    <n v="1485000"/>
    <m/>
    <m/>
  </r>
  <r>
    <s v="KERJASAMA MITRA"/>
    <x v="2"/>
    <d v="2023-06-05T00:00:00"/>
    <x v="1"/>
    <n v="1"/>
    <n v="150000"/>
    <m/>
    <m/>
    <n v="1"/>
    <n v="150000"/>
    <m/>
    <m/>
  </r>
  <r>
    <s v="WALK IN"/>
    <x v="0"/>
    <d v="2023-06-06T00:00:00"/>
    <x v="1"/>
    <n v="100"/>
    <n v="99000"/>
    <m/>
    <m/>
    <n v="100"/>
    <n v="9900000"/>
    <m/>
    <m/>
  </r>
  <r>
    <s v="WALK IN"/>
    <x v="1"/>
    <d v="2023-06-06T00:00:00"/>
    <x v="1"/>
    <n v="5"/>
    <n v="99000"/>
    <m/>
    <m/>
    <n v="5"/>
    <n v="495000"/>
    <m/>
    <m/>
  </r>
  <r>
    <s v="WALK IN"/>
    <x v="0"/>
    <d v="2023-06-07T00:00:00"/>
    <x v="1"/>
    <n v="122"/>
    <n v="99000"/>
    <m/>
    <m/>
    <n v="122"/>
    <n v="12078000"/>
    <m/>
    <m/>
  </r>
  <r>
    <s v="WALK IN"/>
    <x v="1"/>
    <d v="2023-06-07T00:00:00"/>
    <x v="1"/>
    <n v="11"/>
    <n v="99000"/>
    <m/>
    <m/>
    <n v="11"/>
    <n v="1089000"/>
    <m/>
    <m/>
  </r>
  <r>
    <s v="WALK IN"/>
    <x v="0"/>
    <d v="2023-06-08T00:00:00"/>
    <x v="1"/>
    <n v="89"/>
    <n v="99000"/>
    <m/>
    <m/>
    <n v="89"/>
    <n v="8811000"/>
    <m/>
    <m/>
  </r>
  <r>
    <s v="WALK IN"/>
    <x v="1"/>
    <d v="2023-06-08T00:00:00"/>
    <x v="1"/>
    <n v="26"/>
    <n v="99000"/>
    <m/>
    <m/>
    <n v="26"/>
    <n v="2574000"/>
    <m/>
    <m/>
  </r>
  <r>
    <s v="KERJASAMA MITRA"/>
    <x v="2"/>
    <d v="2023-06-08T00:00:00"/>
    <x v="1"/>
    <n v="2"/>
    <n v="150000"/>
    <m/>
    <m/>
    <n v="2"/>
    <n v="300000"/>
    <m/>
    <m/>
  </r>
  <r>
    <s v="WALK IN"/>
    <x v="0"/>
    <d v="2023-06-09T00:00:00"/>
    <x v="1"/>
    <n v="118"/>
    <n v="99000"/>
    <m/>
    <m/>
    <n v="118"/>
    <n v="11682000"/>
    <m/>
    <m/>
  </r>
  <r>
    <s v="WALK IN"/>
    <x v="1"/>
    <d v="2023-06-09T00:00:00"/>
    <x v="1"/>
    <n v="13"/>
    <n v="99000"/>
    <m/>
    <m/>
    <n v="13"/>
    <n v="1287000"/>
    <m/>
    <m/>
  </r>
  <r>
    <s v="KERJASAMA MITRA"/>
    <x v="2"/>
    <d v="2023-06-09T00:00:00"/>
    <x v="1"/>
    <n v="2"/>
    <n v="150000"/>
    <m/>
    <m/>
    <n v="2"/>
    <n v="300000"/>
    <m/>
    <m/>
  </r>
  <r>
    <s v="WALK IN"/>
    <x v="0"/>
    <d v="2023-06-10T00:00:00"/>
    <x v="1"/>
    <n v="104"/>
    <n v="99000"/>
    <m/>
    <m/>
    <n v="104"/>
    <n v="10296000"/>
    <m/>
    <m/>
  </r>
  <r>
    <s v="WALK IN"/>
    <x v="1"/>
    <d v="2023-06-10T00:00:00"/>
    <x v="1"/>
    <n v="34"/>
    <n v="99000"/>
    <m/>
    <m/>
    <n v="34"/>
    <n v="3366000"/>
    <m/>
    <m/>
  </r>
  <r>
    <s v="KERJASAMA MITRA"/>
    <x v="2"/>
    <d v="2023-06-10T00:00:00"/>
    <x v="1"/>
    <n v="1"/>
    <n v="150000"/>
    <m/>
    <m/>
    <n v="1"/>
    <n v="150000"/>
    <m/>
    <m/>
  </r>
  <r>
    <s v="WALK IN"/>
    <x v="0"/>
    <d v="2023-06-11T00:00:00"/>
    <x v="1"/>
    <n v="93"/>
    <n v="99000"/>
    <m/>
    <m/>
    <n v="93"/>
    <n v="9207000"/>
    <m/>
    <m/>
  </r>
  <r>
    <s v="WALK IN"/>
    <x v="1"/>
    <d v="2023-06-11T00:00:00"/>
    <x v="1"/>
    <n v="20"/>
    <n v="99000"/>
    <m/>
    <m/>
    <n v="20"/>
    <n v="1980000"/>
    <m/>
    <m/>
  </r>
  <r>
    <s v="KERJASAMA MITRA"/>
    <x v="2"/>
    <d v="2023-06-11T00:00:00"/>
    <x v="1"/>
    <n v="2"/>
    <n v="150000"/>
    <m/>
    <m/>
    <n v="2"/>
    <n v="300000"/>
    <m/>
    <m/>
  </r>
  <r>
    <s v="WALK IN"/>
    <x v="0"/>
    <d v="2023-06-12T00:00:00"/>
    <x v="1"/>
    <n v="114"/>
    <n v="99000"/>
    <m/>
    <m/>
    <n v="114"/>
    <n v="11286000"/>
    <m/>
    <m/>
  </r>
  <r>
    <s v="WALK IN"/>
    <x v="1"/>
    <d v="2023-06-12T00:00:00"/>
    <x v="1"/>
    <n v="10"/>
    <n v="99000"/>
    <m/>
    <m/>
    <n v="10"/>
    <n v="990000"/>
    <m/>
    <m/>
  </r>
  <r>
    <s v="KERJASAMA MITRA"/>
    <x v="2"/>
    <d v="2023-06-12T00:00:00"/>
    <x v="1"/>
    <n v="3"/>
    <n v="150000"/>
    <m/>
    <m/>
    <n v="3"/>
    <n v="450000"/>
    <m/>
    <m/>
  </r>
  <r>
    <s v="WALK IN"/>
    <x v="0"/>
    <d v="2023-06-13T00:00:00"/>
    <x v="1"/>
    <n v="92"/>
    <n v="99000"/>
    <m/>
    <m/>
    <n v="92"/>
    <n v="9108000"/>
    <m/>
    <m/>
  </r>
  <r>
    <s v="WALK IN"/>
    <x v="1"/>
    <d v="2023-06-13T00:00:00"/>
    <x v="1"/>
    <n v="15"/>
    <n v="99000"/>
    <m/>
    <m/>
    <n v="15"/>
    <n v="1485000"/>
    <m/>
    <m/>
  </r>
  <r>
    <s v="KERJASAMA MITRA"/>
    <x v="2"/>
    <d v="2023-06-13T00:00:00"/>
    <x v="1"/>
    <n v="3"/>
    <n v="150000"/>
    <m/>
    <m/>
    <n v="3"/>
    <n v="450000"/>
    <m/>
    <m/>
  </r>
  <r>
    <s v="WALK IN"/>
    <x v="0"/>
    <d v="2023-06-14T00:00:00"/>
    <x v="1"/>
    <n v="142"/>
    <n v="99000"/>
    <m/>
    <m/>
    <n v="142"/>
    <n v="14058000"/>
    <m/>
    <m/>
  </r>
  <r>
    <s v="WALK IN"/>
    <x v="1"/>
    <d v="2023-06-14T00:00:00"/>
    <x v="1"/>
    <n v="8"/>
    <n v="99000"/>
    <m/>
    <m/>
    <n v="8"/>
    <n v="792000"/>
    <m/>
    <m/>
  </r>
  <r>
    <s v="KERJASAMA MITRA"/>
    <x v="2"/>
    <d v="2023-06-14T00:00:00"/>
    <x v="1"/>
    <n v="4"/>
    <n v="150000"/>
    <m/>
    <m/>
    <n v="4"/>
    <n v="600000"/>
    <m/>
    <m/>
  </r>
  <r>
    <s v="WALK IN"/>
    <x v="0"/>
    <d v="2023-06-15T00:00:00"/>
    <x v="1"/>
    <n v="135"/>
    <n v="99000"/>
    <m/>
    <m/>
    <n v="135"/>
    <n v="13365000"/>
    <m/>
    <m/>
  </r>
  <r>
    <s v="WALK IN"/>
    <x v="1"/>
    <d v="2023-06-15T00:00:00"/>
    <x v="1"/>
    <n v="39"/>
    <n v="99000"/>
    <m/>
    <m/>
    <n v="39"/>
    <n v="3861000"/>
    <m/>
    <m/>
  </r>
  <r>
    <s v="KERJASAMA MITRA"/>
    <x v="2"/>
    <d v="2023-06-15T00:00:00"/>
    <x v="1"/>
    <n v="2"/>
    <n v="150000"/>
    <m/>
    <m/>
    <n v="2"/>
    <n v="300000"/>
    <m/>
    <m/>
  </r>
  <r>
    <s v="WALK IN"/>
    <x v="0"/>
    <d v="2023-06-16T00:00:00"/>
    <x v="1"/>
    <n v="171"/>
    <n v="99000"/>
    <m/>
    <m/>
    <n v="171"/>
    <n v="16929000"/>
    <m/>
    <m/>
  </r>
  <r>
    <s v="WALK IN"/>
    <x v="1"/>
    <d v="2023-06-16T00:00:00"/>
    <x v="1"/>
    <n v="31"/>
    <n v="99000"/>
    <m/>
    <m/>
    <n v="31"/>
    <n v="3069000"/>
    <m/>
    <m/>
  </r>
  <r>
    <s v="KERJASAMA MITRA"/>
    <x v="2"/>
    <d v="2023-06-16T00:00:00"/>
    <x v="1"/>
    <n v="1"/>
    <n v="150000"/>
    <m/>
    <m/>
    <n v="1"/>
    <n v="150000"/>
    <m/>
    <m/>
  </r>
  <r>
    <s v="WALK IN"/>
    <x v="0"/>
    <d v="2023-06-17T00:00:00"/>
    <x v="1"/>
    <n v="126"/>
    <n v="99000"/>
    <m/>
    <m/>
    <n v="126"/>
    <n v="12474000"/>
    <m/>
    <m/>
  </r>
  <r>
    <s v="WALK IN"/>
    <x v="1"/>
    <d v="2023-06-17T00:00:00"/>
    <x v="1"/>
    <n v="9"/>
    <n v="99000"/>
    <m/>
    <m/>
    <n v="9"/>
    <n v="891000"/>
    <m/>
    <m/>
  </r>
  <r>
    <s v="KERJASAMA MITRA"/>
    <x v="2"/>
    <d v="2023-06-17T00:00:00"/>
    <x v="1"/>
    <n v="1"/>
    <n v="150000"/>
    <m/>
    <m/>
    <n v="1"/>
    <n v="150000"/>
    <m/>
    <m/>
  </r>
  <r>
    <s v="WALK IN"/>
    <x v="0"/>
    <d v="2023-06-18T00:00:00"/>
    <x v="1"/>
    <n v="119"/>
    <n v="99000"/>
    <m/>
    <m/>
    <n v="119"/>
    <n v="11781000"/>
    <m/>
    <m/>
  </r>
  <r>
    <s v="WALK IN"/>
    <x v="1"/>
    <d v="2023-06-18T00:00:00"/>
    <x v="1"/>
    <n v="30"/>
    <n v="99000"/>
    <m/>
    <m/>
    <n v="30"/>
    <n v="2970000"/>
    <m/>
    <m/>
  </r>
  <r>
    <s v="WALK IN"/>
    <x v="0"/>
    <d v="2023-06-19T00:00:00"/>
    <x v="1"/>
    <n v="73"/>
    <n v="99000"/>
    <m/>
    <m/>
    <n v="73"/>
    <n v="7227000"/>
    <m/>
    <m/>
  </r>
  <r>
    <s v="WALK IN"/>
    <x v="1"/>
    <d v="2023-06-19T00:00:00"/>
    <x v="1"/>
    <n v="29"/>
    <n v="99000"/>
    <m/>
    <m/>
    <n v="29"/>
    <n v="2871000"/>
    <m/>
    <m/>
  </r>
  <r>
    <s v="KERJASAMA MITRA"/>
    <x v="2"/>
    <d v="2023-06-19T00:00:00"/>
    <x v="1"/>
    <n v="1"/>
    <n v="150000"/>
    <m/>
    <m/>
    <n v="1"/>
    <n v="150000"/>
    <m/>
    <m/>
  </r>
  <r>
    <s v="WALK IN"/>
    <x v="0"/>
    <d v="2023-06-20T00:00:00"/>
    <x v="1"/>
    <n v="87"/>
    <n v="99000"/>
    <m/>
    <m/>
    <n v="87"/>
    <n v="8613000"/>
    <m/>
    <m/>
  </r>
  <r>
    <s v="WALK IN"/>
    <x v="1"/>
    <d v="2023-06-20T00:00:00"/>
    <x v="1"/>
    <n v="52"/>
    <n v="99000"/>
    <m/>
    <m/>
    <n v="52"/>
    <n v="5148000"/>
    <m/>
    <m/>
  </r>
  <r>
    <s v="KERJASAMA MITRA"/>
    <x v="2"/>
    <d v="2023-06-20T00:00:00"/>
    <x v="1"/>
    <n v="1"/>
    <n v="150000"/>
    <m/>
    <m/>
    <n v="1"/>
    <n v="150000"/>
    <m/>
    <m/>
  </r>
  <r>
    <s v="WALK IN"/>
    <x v="0"/>
    <d v="2023-06-21T00:00:00"/>
    <x v="1"/>
    <n v="164"/>
    <n v="99000"/>
    <m/>
    <m/>
    <n v="164"/>
    <n v="16236000"/>
    <m/>
    <m/>
  </r>
  <r>
    <s v="WALK IN"/>
    <x v="1"/>
    <d v="2023-06-21T00:00:00"/>
    <x v="1"/>
    <n v="42"/>
    <n v="99000"/>
    <m/>
    <m/>
    <n v="42"/>
    <n v="4158000"/>
    <m/>
    <m/>
  </r>
  <r>
    <s v="WALK IN"/>
    <x v="0"/>
    <d v="2023-06-22T00:00:00"/>
    <x v="1"/>
    <n v="120"/>
    <n v="99000"/>
    <m/>
    <m/>
    <n v="120"/>
    <n v="11880000"/>
    <m/>
    <m/>
  </r>
  <r>
    <s v="WALK IN"/>
    <x v="1"/>
    <d v="2023-06-22T00:00:00"/>
    <x v="1"/>
    <n v="34"/>
    <n v="99000"/>
    <m/>
    <m/>
    <n v="34"/>
    <n v="3366000"/>
    <m/>
    <m/>
  </r>
  <r>
    <s v="KERJASAMA MITRA"/>
    <x v="2"/>
    <d v="2023-06-22T00:00:00"/>
    <x v="1"/>
    <n v="3"/>
    <n v="150000"/>
    <m/>
    <m/>
    <n v="3"/>
    <n v="450000"/>
    <m/>
    <m/>
  </r>
  <r>
    <s v="WALK IN"/>
    <x v="0"/>
    <d v="2023-06-23T00:00:00"/>
    <x v="1"/>
    <n v="142"/>
    <n v="99000"/>
    <m/>
    <m/>
    <n v="142"/>
    <n v="14058000"/>
    <m/>
    <m/>
  </r>
  <r>
    <s v="WALK IN"/>
    <x v="1"/>
    <d v="2023-06-23T00:00:00"/>
    <x v="1"/>
    <n v="37"/>
    <n v="99000"/>
    <m/>
    <m/>
    <n v="37"/>
    <n v="3663000"/>
    <m/>
    <m/>
  </r>
  <r>
    <s v="KERJASAMA MITRA"/>
    <x v="2"/>
    <d v="2023-06-23T00:00:00"/>
    <x v="1"/>
    <n v="7"/>
    <n v="150000"/>
    <m/>
    <m/>
    <n v="7"/>
    <n v="1050000"/>
    <m/>
    <m/>
  </r>
  <r>
    <s v="WALK IN"/>
    <x v="0"/>
    <d v="2023-06-24T00:00:00"/>
    <x v="1"/>
    <n v="145"/>
    <n v="99000"/>
    <m/>
    <m/>
    <n v="145"/>
    <n v="14355000"/>
    <m/>
    <m/>
  </r>
  <r>
    <s v="WALK IN"/>
    <x v="1"/>
    <d v="2023-06-24T00:00:00"/>
    <x v="1"/>
    <n v="12"/>
    <n v="99000"/>
    <m/>
    <m/>
    <n v="12"/>
    <n v="1188000"/>
    <m/>
    <m/>
  </r>
  <r>
    <s v="KERJASAMA MITRA"/>
    <x v="2"/>
    <d v="2023-06-24T00:00:00"/>
    <x v="1"/>
    <n v="1"/>
    <n v="150000"/>
    <m/>
    <m/>
    <n v="1"/>
    <n v="150000"/>
    <m/>
    <m/>
  </r>
  <r>
    <s v="WALK IN"/>
    <x v="0"/>
    <d v="2023-06-25T00:00:00"/>
    <x v="1"/>
    <n v="114"/>
    <n v="99000"/>
    <m/>
    <m/>
    <n v="114"/>
    <n v="11286000"/>
    <m/>
    <m/>
  </r>
  <r>
    <s v="WALK IN"/>
    <x v="1"/>
    <d v="2023-06-25T00:00:00"/>
    <x v="1"/>
    <n v="8"/>
    <n v="99000"/>
    <m/>
    <m/>
    <n v="8"/>
    <n v="792000"/>
    <m/>
    <m/>
  </r>
  <r>
    <s v="KERJASAMA MITRA"/>
    <x v="2"/>
    <d v="2023-06-25T00:00:00"/>
    <x v="1"/>
    <n v="2"/>
    <n v="150000"/>
    <m/>
    <m/>
    <n v="2"/>
    <n v="300000"/>
    <m/>
    <m/>
  </r>
  <r>
    <s v="WALK IN"/>
    <x v="0"/>
    <d v="2023-06-26T00:00:00"/>
    <x v="1"/>
    <n v="131"/>
    <n v="99000"/>
    <m/>
    <m/>
    <n v="131"/>
    <n v="12969000"/>
    <m/>
    <m/>
  </r>
  <r>
    <s v="WALK IN"/>
    <x v="1"/>
    <d v="2023-06-26T00:00:00"/>
    <x v="1"/>
    <n v="10"/>
    <n v="99000"/>
    <m/>
    <m/>
    <n v="10"/>
    <n v="990000"/>
    <m/>
    <m/>
  </r>
  <r>
    <s v="KERJASAMA MITRA"/>
    <x v="2"/>
    <d v="2023-06-26T00:00:00"/>
    <x v="1"/>
    <n v="6"/>
    <n v="150000"/>
    <m/>
    <m/>
    <n v="6"/>
    <n v="900000"/>
    <m/>
    <m/>
  </r>
  <r>
    <s v="WALK IN"/>
    <x v="0"/>
    <d v="2023-06-27T00:00:00"/>
    <x v="1"/>
    <n v="101"/>
    <n v="99000"/>
    <m/>
    <m/>
    <n v="101"/>
    <n v="9999000"/>
    <m/>
    <m/>
  </r>
  <r>
    <s v="WALK IN"/>
    <x v="1"/>
    <d v="2023-06-27T00:00:00"/>
    <x v="1"/>
    <n v="29"/>
    <n v="99000"/>
    <m/>
    <m/>
    <n v="29"/>
    <n v="2871000"/>
    <m/>
    <m/>
  </r>
  <r>
    <s v="WALK IN"/>
    <x v="0"/>
    <d v="2023-06-28T00:00:00"/>
    <x v="1"/>
    <n v="166"/>
    <n v="99000"/>
    <m/>
    <m/>
    <n v="166"/>
    <n v="16434000"/>
    <m/>
    <m/>
  </r>
  <r>
    <s v="WALK IN"/>
    <x v="1"/>
    <d v="2023-06-28T00:00:00"/>
    <x v="1"/>
    <n v="30"/>
    <n v="99000"/>
    <m/>
    <m/>
    <n v="30"/>
    <n v="2970000"/>
    <m/>
    <m/>
  </r>
  <r>
    <s v="KERJASAMA MITRA"/>
    <x v="2"/>
    <d v="2023-06-28T00:00:00"/>
    <x v="1"/>
    <n v="1"/>
    <n v="150000"/>
    <m/>
    <m/>
    <n v="1"/>
    <n v="150000"/>
    <m/>
    <m/>
  </r>
  <r>
    <s v="WALK IN"/>
    <x v="0"/>
    <d v="2023-06-29T00:00:00"/>
    <x v="1"/>
    <n v="225"/>
    <n v="99000"/>
    <m/>
    <m/>
    <n v="225"/>
    <n v="22275000"/>
    <m/>
    <m/>
  </r>
  <r>
    <s v="WALK IN"/>
    <x v="1"/>
    <d v="2023-06-29T00:00:00"/>
    <x v="1"/>
    <n v="77"/>
    <n v="99000"/>
    <m/>
    <m/>
    <n v="77"/>
    <n v="7623000"/>
    <m/>
    <m/>
  </r>
  <r>
    <s v="WALK IN"/>
    <x v="0"/>
    <d v="2023-06-30T00:00:00"/>
    <x v="1"/>
    <n v="108"/>
    <n v="99000"/>
    <m/>
    <m/>
    <n v="108"/>
    <n v="10692000"/>
    <m/>
    <m/>
  </r>
  <r>
    <s v="WALK IN"/>
    <x v="1"/>
    <d v="2023-06-30T00:00:00"/>
    <x v="1"/>
    <n v="45"/>
    <n v="99000"/>
    <m/>
    <m/>
    <n v="45"/>
    <n v="4455000"/>
    <m/>
    <m/>
  </r>
  <r>
    <s v="KERJASAMA MITRA"/>
    <x v="2"/>
    <d v="2023-06-30T00:00:00"/>
    <x v="1"/>
    <n v="1"/>
    <n v="150000"/>
    <m/>
    <m/>
    <n v="1"/>
    <n v="150000"/>
    <m/>
    <m/>
  </r>
  <r>
    <s v="WALK IN"/>
    <x v="0"/>
    <d v="2023-07-01T00:00:00"/>
    <x v="2"/>
    <n v="132"/>
    <n v="99000"/>
    <m/>
    <m/>
    <n v="132"/>
    <n v="13068000"/>
    <m/>
    <m/>
  </r>
  <r>
    <s v="WALK IN"/>
    <x v="1"/>
    <d v="2023-07-01T00:00:00"/>
    <x v="2"/>
    <n v="9"/>
    <n v="99000"/>
    <m/>
    <m/>
    <n v="9"/>
    <n v="891000"/>
    <m/>
    <m/>
  </r>
  <r>
    <s v="KERJASAMA MITRA"/>
    <x v="2"/>
    <d v="2023-07-01T00:00:00"/>
    <x v="2"/>
    <n v="2"/>
    <n v="150000"/>
    <m/>
    <m/>
    <n v="2"/>
    <n v="300000"/>
    <m/>
    <m/>
  </r>
  <r>
    <s v="WALK IN"/>
    <x v="0"/>
    <d v="2023-07-02T00:00:00"/>
    <x v="2"/>
    <n v="180"/>
    <n v="99000"/>
    <m/>
    <m/>
    <n v="180"/>
    <n v="17820000"/>
    <m/>
    <m/>
  </r>
  <r>
    <s v="WALK IN"/>
    <x v="1"/>
    <d v="2023-07-02T00:00:00"/>
    <x v="2"/>
    <n v="23"/>
    <n v="99000"/>
    <m/>
    <m/>
    <n v="23"/>
    <n v="2277000"/>
    <m/>
    <m/>
  </r>
  <r>
    <s v="KERJASAMA MITRA"/>
    <x v="2"/>
    <d v="2023-07-02T00:00:00"/>
    <x v="2"/>
    <n v="2"/>
    <n v="150000"/>
    <m/>
    <m/>
    <n v="2"/>
    <n v="300000"/>
    <m/>
    <m/>
  </r>
  <r>
    <s v="WALK IN"/>
    <x v="0"/>
    <d v="2023-07-03T00:00:00"/>
    <x v="2"/>
    <n v="101"/>
    <n v="99000"/>
    <m/>
    <m/>
    <n v="101"/>
    <n v="9999000"/>
    <m/>
    <m/>
  </r>
  <r>
    <s v="WALK IN"/>
    <x v="1"/>
    <d v="2023-07-03T00:00:00"/>
    <x v="2"/>
    <n v="7"/>
    <n v="99000"/>
    <m/>
    <m/>
    <n v="7"/>
    <n v="693000"/>
    <m/>
    <m/>
  </r>
  <r>
    <s v="WALK IN"/>
    <x v="0"/>
    <d v="2023-07-04T00:00:00"/>
    <x v="2"/>
    <n v="80"/>
    <n v="99000"/>
    <m/>
    <m/>
    <n v="80"/>
    <n v="7920000"/>
    <m/>
    <m/>
  </r>
  <r>
    <s v="WALK IN"/>
    <x v="1"/>
    <d v="2023-07-04T00:00:00"/>
    <x v="2"/>
    <n v="21"/>
    <n v="99000"/>
    <m/>
    <m/>
    <n v="21"/>
    <n v="2079000"/>
    <m/>
    <m/>
  </r>
  <r>
    <s v="WALK IN"/>
    <x v="0"/>
    <d v="2023-07-05T00:00:00"/>
    <x v="2"/>
    <n v="101"/>
    <n v="99000"/>
    <m/>
    <m/>
    <n v="101"/>
    <n v="9999000"/>
    <m/>
    <m/>
  </r>
  <r>
    <s v="WALK IN"/>
    <x v="1"/>
    <d v="2023-07-05T00:00:00"/>
    <x v="2"/>
    <n v="34"/>
    <n v="99000"/>
    <m/>
    <m/>
    <n v="34"/>
    <n v="3366000"/>
    <m/>
    <m/>
  </r>
  <r>
    <s v="KERJASAMA MITRA"/>
    <x v="2"/>
    <d v="2023-07-05T00:00:00"/>
    <x v="2"/>
    <n v="1"/>
    <n v="150000"/>
    <m/>
    <m/>
    <n v="1"/>
    <n v="150000"/>
    <m/>
    <m/>
  </r>
  <r>
    <s v="WALK IN"/>
    <x v="0"/>
    <d v="2023-07-06T00:00:00"/>
    <x v="2"/>
    <n v="78"/>
    <n v="120000"/>
    <m/>
    <m/>
    <n v="78"/>
    <n v="9360000"/>
    <m/>
    <m/>
  </r>
  <r>
    <s v="WALK IN"/>
    <x v="1"/>
    <d v="2023-07-06T00:00:00"/>
    <x v="2"/>
    <n v="23"/>
    <n v="120000"/>
    <m/>
    <m/>
    <n v="23"/>
    <n v="2760000"/>
    <m/>
    <m/>
  </r>
  <r>
    <s v="KERJASAMA MITRA"/>
    <x v="2"/>
    <d v="2023-07-06T00:00:00"/>
    <x v="2"/>
    <n v="5"/>
    <n v="150000"/>
    <m/>
    <m/>
    <n v="5"/>
    <n v="750000"/>
    <m/>
    <m/>
  </r>
  <r>
    <s v="WALK IN"/>
    <x v="0"/>
    <d v="2023-07-07T00:00:00"/>
    <x v="2"/>
    <n v="112"/>
    <n v="120000"/>
    <m/>
    <m/>
    <n v="112"/>
    <n v="13440000"/>
    <m/>
    <m/>
  </r>
  <r>
    <s v="WALK IN"/>
    <x v="1"/>
    <d v="2023-07-07T00:00:00"/>
    <x v="2"/>
    <n v="26"/>
    <n v="120000"/>
    <m/>
    <m/>
    <n v="26"/>
    <n v="3120000"/>
    <m/>
    <m/>
  </r>
  <r>
    <s v="KERJASAMA MITRA"/>
    <x v="2"/>
    <d v="2023-07-07T00:00:00"/>
    <x v="2"/>
    <n v="3"/>
    <n v="150000"/>
    <m/>
    <m/>
    <n v="3"/>
    <n v="450000"/>
    <m/>
    <m/>
  </r>
  <r>
    <s v="WALK IN"/>
    <x v="0"/>
    <d v="2023-07-08T00:00:00"/>
    <x v="2"/>
    <n v="102"/>
    <n v="120000"/>
    <m/>
    <m/>
    <n v="102"/>
    <n v="12240000"/>
    <m/>
    <m/>
  </r>
  <r>
    <s v="WALK IN"/>
    <x v="1"/>
    <d v="2023-07-08T00:00:00"/>
    <x v="2"/>
    <n v="7"/>
    <n v="120000"/>
    <m/>
    <m/>
    <n v="7"/>
    <n v="840000"/>
    <m/>
    <m/>
  </r>
  <r>
    <s v="KERJASAMA MITRA"/>
    <x v="2"/>
    <d v="2023-07-08T00:00:00"/>
    <x v="2"/>
    <n v="2"/>
    <n v="150000"/>
    <m/>
    <m/>
    <n v="2"/>
    <n v="300000"/>
    <m/>
    <m/>
  </r>
  <r>
    <s v="WALK IN"/>
    <x v="0"/>
    <d v="2023-07-09T00:00:00"/>
    <x v="2"/>
    <n v="110"/>
    <n v="120000"/>
    <m/>
    <m/>
    <n v="110"/>
    <n v="13200000"/>
    <m/>
    <m/>
  </r>
  <r>
    <s v="WALK IN"/>
    <x v="1"/>
    <d v="2023-07-09T00:00:00"/>
    <x v="2"/>
    <n v="29"/>
    <n v="120000"/>
    <m/>
    <m/>
    <n v="29"/>
    <n v="3480000"/>
    <m/>
    <m/>
  </r>
  <r>
    <s v="KERJASAMA MITRA"/>
    <x v="2"/>
    <d v="2023-07-09T00:00:00"/>
    <x v="2"/>
    <n v="1"/>
    <n v="150000"/>
    <m/>
    <m/>
    <n v="1"/>
    <n v="150000"/>
    <m/>
    <m/>
  </r>
  <r>
    <s v="WALK IN"/>
    <x v="0"/>
    <d v="2023-07-10T00:00:00"/>
    <x v="2"/>
    <n v="75"/>
    <n v="120000"/>
    <m/>
    <m/>
    <n v="75"/>
    <n v="9000000"/>
    <m/>
    <m/>
  </r>
  <r>
    <s v="WALK IN"/>
    <x v="1"/>
    <d v="2023-07-10T00:00:00"/>
    <x v="2"/>
    <n v="24"/>
    <n v="120000"/>
    <m/>
    <m/>
    <n v="24"/>
    <n v="2880000"/>
    <m/>
    <m/>
  </r>
  <r>
    <s v="KERJASAMA MITRA"/>
    <x v="2"/>
    <d v="2023-07-10T00:00:00"/>
    <x v="2"/>
    <n v="5"/>
    <n v="150000"/>
    <m/>
    <m/>
    <n v="5"/>
    <n v="750000"/>
    <m/>
    <m/>
  </r>
  <r>
    <s v="WALK IN"/>
    <x v="0"/>
    <d v="2023-07-11T00:00:00"/>
    <x v="2"/>
    <n v="92"/>
    <n v="120000"/>
    <m/>
    <m/>
    <n v="92"/>
    <n v="11040000"/>
    <m/>
    <m/>
  </r>
  <r>
    <s v="WALK IN"/>
    <x v="1"/>
    <d v="2023-07-11T00:00:00"/>
    <x v="2"/>
    <n v="12"/>
    <n v="120000"/>
    <m/>
    <m/>
    <n v="12"/>
    <n v="1440000"/>
    <m/>
    <m/>
  </r>
  <r>
    <s v="KERJASAMA MITRA"/>
    <x v="2"/>
    <d v="2023-07-11T00:00:00"/>
    <x v="2"/>
    <n v="5"/>
    <n v="150000"/>
    <m/>
    <m/>
    <n v="5"/>
    <n v="750000"/>
    <m/>
    <m/>
  </r>
  <r>
    <s v="WALK IN"/>
    <x v="0"/>
    <d v="2023-07-12T00:00:00"/>
    <x v="2"/>
    <n v="104"/>
    <n v="120000"/>
    <m/>
    <m/>
    <n v="104"/>
    <n v="12480000"/>
    <m/>
    <m/>
  </r>
  <r>
    <s v="WALK IN"/>
    <x v="1"/>
    <d v="2023-07-12T00:00:00"/>
    <x v="2"/>
    <n v="17"/>
    <n v="120000"/>
    <m/>
    <m/>
    <n v="17"/>
    <n v="2040000"/>
    <m/>
    <m/>
  </r>
  <r>
    <s v="WALK IN"/>
    <x v="0"/>
    <d v="2023-07-13T00:00:00"/>
    <x v="2"/>
    <n v="118"/>
    <n v="120000"/>
    <m/>
    <m/>
    <n v="118"/>
    <n v="14160000"/>
    <m/>
    <m/>
  </r>
  <r>
    <s v="WALK IN"/>
    <x v="1"/>
    <d v="2023-07-13T00:00:00"/>
    <x v="2"/>
    <n v="20"/>
    <n v="120000"/>
    <m/>
    <m/>
    <n v="20"/>
    <n v="2400000"/>
    <m/>
    <m/>
  </r>
  <r>
    <s v="KERJASAMA MITRA"/>
    <x v="2"/>
    <d v="2023-07-13T00:00:00"/>
    <x v="2"/>
    <n v="3"/>
    <n v="150000"/>
    <m/>
    <m/>
    <n v="3"/>
    <n v="450000"/>
    <m/>
    <m/>
  </r>
  <r>
    <s v="WALK IN"/>
    <x v="0"/>
    <d v="2023-07-14T00:00:00"/>
    <x v="2"/>
    <n v="160"/>
    <n v="120000"/>
    <m/>
    <m/>
    <n v="160"/>
    <n v="19200000"/>
    <m/>
    <m/>
  </r>
  <r>
    <s v="WALK IN"/>
    <x v="1"/>
    <d v="2023-07-14T00:00:00"/>
    <x v="2"/>
    <n v="12"/>
    <n v="120000"/>
    <m/>
    <m/>
    <n v="12"/>
    <n v="1440000"/>
    <m/>
    <m/>
  </r>
  <r>
    <s v="KERJASAMA MITRA"/>
    <x v="2"/>
    <d v="2023-07-14T00:00:00"/>
    <x v="2"/>
    <n v="3"/>
    <n v="150000"/>
    <m/>
    <m/>
    <n v="3"/>
    <n v="450000"/>
    <m/>
    <m/>
  </r>
  <r>
    <s v="WALK IN"/>
    <x v="0"/>
    <d v="2023-07-15T00:00:00"/>
    <x v="2"/>
    <n v="108"/>
    <n v="120000"/>
    <m/>
    <m/>
    <n v="108"/>
    <n v="12960000"/>
    <m/>
    <m/>
  </r>
  <r>
    <s v="WALK IN"/>
    <x v="1"/>
    <d v="2023-07-15T00:00:00"/>
    <x v="2"/>
    <n v="2"/>
    <n v="120000"/>
    <m/>
    <m/>
    <n v="2"/>
    <n v="240000"/>
    <m/>
    <m/>
  </r>
  <r>
    <s v="WALK IN"/>
    <x v="0"/>
    <d v="2023-07-16T00:00:00"/>
    <x v="2"/>
    <n v="101"/>
    <n v="120000"/>
    <m/>
    <m/>
    <n v="101"/>
    <n v="12120000"/>
    <m/>
    <m/>
  </r>
  <r>
    <s v="WALK IN"/>
    <x v="1"/>
    <d v="2023-07-16T00:00:00"/>
    <x v="2"/>
    <n v="4"/>
    <n v="120000"/>
    <m/>
    <m/>
    <n v="4"/>
    <n v="480000"/>
    <m/>
    <m/>
  </r>
  <r>
    <s v="KERJASAMA MITRA"/>
    <x v="2"/>
    <d v="2023-07-16T00:00:00"/>
    <x v="2"/>
    <n v="4"/>
    <n v="150000"/>
    <m/>
    <m/>
    <n v="4"/>
    <n v="600000"/>
    <m/>
    <m/>
  </r>
  <r>
    <s v="WALK IN"/>
    <x v="0"/>
    <d v="2023-07-17T00:00:00"/>
    <x v="2"/>
    <n v="113"/>
    <n v="120000"/>
    <m/>
    <m/>
    <n v="113"/>
    <n v="13560000"/>
    <m/>
    <m/>
  </r>
  <r>
    <s v="WALK IN"/>
    <x v="1"/>
    <d v="2023-07-17T00:00:00"/>
    <x v="2"/>
    <n v="15"/>
    <n v="120000"/>
    <m/>
    <m/>
    <n v="15"/>
    <n v="1800000"/>
    <m/>
    <m/>
  </r>
  <r>
    <s v="KERJASAMA MITRA"/>
    <x v="2"/>
    <d v="2023-07-17T00:00:00"/>
    <x v="2"/>
    <n v="2"/>
    <n v="150000"/>
    <m/>
    <m/>
    <n v="2"/>
    <n v="300000"/>
    <m/>
    <m/>
  </r>
  <r>
    <s v="KERJASAMA MITRA"/>
    <x v="3"/>
    <d v="2023-07-17T00:00:00"/>
    <x v="2"/>
    <n v="2"/>
    <n v="130000"/>
    <m/>
    <m/>
    <n v="2"/>
    <n v="260000"/>
    <m/>
    <m/>
  </r>
  <r>
    <s v="WALK IN"/>
    <x v="0"/>
    <d v="2023-07-18T00:00:00"/>
    <x v="2"/>
    <n v="91"/>
    <n v="120000"/>
    <m/>
    <m/>
    <n v="91"/>
    <n v="10920000"/>
    <m/>
    <m/>
  </r>
  <r>
    <s v="WALK IN"/>
    <x v="1"/>
    <d v="2023-07-18T00:00:00"/>
    <x v="2"/>
    <n v="10"/>
    <n v="120000"/>
    <m/>
    <m/>
    <n v="10"/>
    <n v="1200000"/>
    <m/>
    <m/>
  </r>
  <r>
    <s v="KERJASAMA MITRA"/>
    <x v="2"/>
    <d v="2023-07-18T00:00:00"/>
    <x v="2"/>
    <n v="1"/>
    <n v="150000"/>
    <m/>
    <m/>
    <n v="1"/>
    <n v="150000"/>
    <m/>
    <m/>
  </r>
  <r>
    <s v="KERJASAMA MITRA"/>
    <x v="3"/>
    <d v="2023-07-18T00:00:00"/>
    <x v="2"/>
    <n v="2"/>
    <n v="130000"/>
    <m/>
    <m/>
    <n v="2"/>
    <n v="260000"/>
    <m/>
    <m/>
  </r>
  <r>
    <s v="KERJASAMA MITRA"/>
    <x v="4"/>
    <d v="2023-07-18T00:00:00"/>
    <x v="2"/>
    <n v="11"/>
    <n v="130000"/>
    <m/>
    <m/>
    <n v="11"/>
    <n v="1430000"/>
    <m/>
    <m/>
  </r>
  <r>
    <s v="WALK IN"/>
    <x v="0"/>
    <d v="2023-07-19T00:00:00"/>
    <x v="2"/>
    <n v="153"/>
    <n v="120000"/>
    <m/>
    <m/>
    <n v="153"/>
    <n v="18360000"/>
    <m/>
    <m/>
  </r>
  <r>
    <s v="WALK IN"/>
    <x v="1"/>
    <d v="2023-07-19T00:00:00"/>
    <x v="2"/>
    <n v="14"/>
    <n v="120000"/>
    <m/>
    <m/>
    <n v="14"/>
    <n v="1680000"/>
    <m/>
    <m/>
  </r>
  <r>
    <s v="KERJASAMA MITRA"/>
    <x v="2"/>
    <d v="2023-07-19T00:00:00"/>
    <x v="2"/>
    <n v="7"/>
    <n v="150000"/>
    <m/>
    <m/>
    <n v="7"/>
    <n v="1050000"/>
    <m/>
    <m/>
  </r>
  <r>
    <s v="KERJASAMA MITRA"/>
    <x v="3"/>
    <d v="2023-07-19T00:00:00"/>
    <x v="2"/>
    <n v="4"/>
    <n v="130000"/>
    <m/>
    <m/>
    <n v="4"/>
    <n v="520000"/>
    <m/>
    <m/>
  </r>
  <r>
    <s v="KERJASAMA MITRA"/>
    <x v="4"/>
    <d v="2023-07-19T00:00:00"/>
    <x v="2"/>
    <n v="4"/>
    <n v="130000"/>
    <m/>
    <m/>
    <n v="4"/>
    <n v="520000"/>
    <m/>
    <m/>
  </r>
  <r>
    <s v="WALK IN"/>
    <x v="0"/>
    <d v="2023-07-20T00:00:00"/>
    <x v="2"/>
    <n v="80"/>
    <n v="120000"/>
    <m/>
    <m/>
    <n v="80"/>
    <n v="9600000"/>
    <m/>
    <m/>
  </r>
  <r>
    <s v="WALK IN"/>
    <x v="1"/>
    <d v="2023-07-20T00:00:00"/>
    <x v="2"/>
    <n v="12"/>
    <n v="120000"/>
    <m/>
    <m/>
    <n v="12"/>
    <n v="1440000"/>
    <m/>
    <m/>
  </r>
  <r>
    <s v="KERJASAMA MITRA"/>
    <x v="3"/>
    <d v="2023-07-20T00:00:00"/>
    <x v="2"/>
    <n v="2"/>
    <n v="130000"/>
    <m/>
    <m/>
    <n v="2"/>
    <n v="260000"/>
    <m/>
    <m/>
  </r>
  <r>
    <s v="WALK IN"/>
    <x v="0"/>
    <d v="2023-07-21T00:00:00"/>
    <x v="2"/>
    <n v="113"/>
    <n v="120000"/>
    <m/>
    <m/>
    <n v="113"/>
    <n v="13560000"/>
    <m/>
    <m/>
  </r>
  <r>
    <s v="WALK IN"/>
    <x v="1"/>
    <d v="2023-07-21T00:00:00"/>
    <x v="2"/>
    <n v="13"/>
    <n v="120000"/>
    <m/>
    <m/>
    <n v="13"/>
    <n v="1560000"/>
    <m/>
    <m/>
  </r>
  <r>
    <s v="KERJASAMA MITRA"/>
    <x v="2"/>
    <d v="2023-07-21T00:00:00"/>
    <x v="2"/>
    <n v="5"/>
    <n v="150000"/>
    <m/>
    <m/>
    <n v="5"/>
    <n v="750000"/>
    <m/>
    <m/>
  </r>
  <r>
    <s v="KERJASAMA MITRA"/>
    <x v="3"/>
    <d v="2023-07-21T00:00:00"/>
    <x v="2"/>
    <n v="1"/>
    <n v="130000"/>
    <m/>
    <m/>
    <n v="1"/>
    <n v="130000"/>
    <m/>
    <m/>
  </r>
  <r>
    <s v="KERJASAMA MITRA"/>
    <x v="4"/>
    <d v="2023-07-21T00:00:00"/>
    <x v="2"/>
    <n v="2"/>
    <n v="130000"/>
    <m/>
    <m/>
    <n v="2"/>
    <n v="260000"/>
    <m/>
    <m/>
  </r>
  <r>
    <s v="WALK IN"/>
    <x v="0"/>
    <d v="2023-07-22T00:00:00"/>
    <x v="2"/>
    <n v="103"/>
    <n v="120000"/>
    <m/>
    <m/>
    <n v="103"/>
    <n v="12360000"/>
    <m/>
    <m/>
  </r>
  <r>
    <s v="WALK IN"/>
    <x v="1"/>
    <d v="2023-07-22T00:00:00"/>
    <x v="2"/>
    <n v="8"/>
    <n v="120000"/>
    <m/>
    <m/>
    <n v="8"/>
    <n v="960000"/>
    <m/>
    <m/>
  </r>
  <r>
    <s v="KERJASAMA MITRA"/>
    <x v="2"/>
    <d v="2023-07-22T00:00:00"/>
    <x v="2"/>
    <n v="3"/>
    <n v="150000"/>
    <m/>
    <m/>
    <n v="3"/>
    <n v="450000"/>
    <m/>
    <m/>
  </r>
  <r>
    <s v="KERJASAMA MITRA"/>
    <x v="3"/>
    <d v="2023-07-22T00:00:00"/>
    <x v="2"/>
    <n v="4"/>
    <n v="130000"/>
    <m/>
    <m/>
    <n v="4"/>
    <n v="520000"/>
    <m/>
    <m/>
  </r>
  <r>
    <s v="KERJASAMA MITRA"/>
    <x v="4"/>
    <d v="2023-07-22T00:00:00"/>
    <x v="2"/>
    <n v="5"/>
    <n v="130000"/>
    <m/>
    <m/>
    <n v="5"/>
    <n v="650000"/>
    <m/>
    <m/>
  </r>
  <r>
    <s v="WALK IN"/>
    <x v="0"/>
    <d v="2023-07-23T00:00:00"/>
    <x v="2"/>
    <n v="88"/>
    <n v="120000"/>
    <m/>
    <m/>
    <n v="88"/>
    <n v="10560000"/>
    <m/>
    <m/>
  </r>
  <r>
    <s v="WALK IN"/>
    <x v="1"/>
    <d v="2023-07-23T00:00:00"/>
    <x v="2"/>
    <n v="37"/>
    <n v="120000"/>
    <m/>
    <m/>
    <n v="37"/>
    <n v="4440000"/>
    <m/>
    <m/>
  </r>
  <r>
    <s v="KERJASAMA MITRA"/>
    <x v="2"/>
    <d v="2023-07-23T00:00:00"/>
    <x v="2"/>
    <n v="1"/>
    <n v="150000"/>
    <m/>
    <m/>
    <n v="1"/>
    <n v="150000"/>
    <m/>
    <m/>
  </r>
  <r>
    <s v="KERJASAMA MITRA"/>
    <x v="3"/>
    <d v="2023-07-23T00:00:00"/>
    <x v="2"/>
    <n v="3"/>
    <n v="130000"/>
    <m/>
    <m/>
    <n v="3"/>
    <n v="390000"/>
    <m/>
    <m/>
  </r>
  <r>
    <s v="KERJASAMA MITRA"/>
    <x v="4"/>
    <d v="2023-07-23T00:00:00"/>
    <x v="2"/>
    <n v="5"/>
    <n v="130000"/>
    <m/>
    <m/>
    <n v="5"/>
    <n v="650000"/>
    <m/>
    <m/>
  </r>
  <r>
    <s v="WALK IN"/>
    <x v="0"/>
    <d v="2023-07-24T00:00:00"/>
    <x v="2"/>
    <n v="114"/>
    <n v="120000"/>
    <m/>
    <m/>
    <n v="114"/>
    <n v="13680000"/>
    <m/>
    <m/>
  </r>
  <r>
    <s v="WALK IN"/>
    <x v="1"/>
    <d v="2023-07-24T00:00:00"/>
    <x v="2"/>
    <n v="10"/>
    <n v="120000"/>
    <m/>
    <m/>
    <n v="10"/>
    <n v="1200000"/>
    <m/>
    <m/>
  </r>
  <r>
    <s v="KERJASAMA MITRA"/>
    <x v="2"/>
    <d v="2023-07-24T00:00:00"/>
    <x v="2"/>
    <n v="2"/>
    <n v="150000"/>
    <m/>
    <m/>
    <n v="2"/>
    <n v="300000"/>
    <m/>
    <m/>
  </r>
  <r>
    <s v="KERJASAMA MITRA"/>
    <x v="4"/>
    <d v="2023-07-24T00:00:00"/>
    <x v="2"/>
    <n v="2"/>
    <n v="130000"/>
    <m/>
    <m/>
    <n v="2"/>
    <n v="260000"/>
    <m/>
    <m/>
  </r>
  <r>
    <s v="WALK IN"/>
    <x v="0"/>
    <d v="2023-07-25T00:00:00"/>
    <x v="2"/>
    <n v="79"/>
    <n v="120000"/>
    <m/>
    <m/>
    <n v="79"/>
    <n v="9480000"/>
    <m/>
    <m/>
  </r>
  <r>
    <s v="WALK IN"/>
    <x v="1"/>
    <d v="2023-07-25T00:00:00"/>
    <x v="2"/>
    <n v="10"/>
    <n v="120000"/>
    <m/>
    <m/>
    <n v="10"/>
    <n v="1200000"/>
    <m/>
    <m/>
  </r>
  <r>
    <s v="KERJASAMA MITRA"/>
    <x v="2"/>
    <d v="2023-07-25T00:00:00"/>
    <x v="2"/>
    <n v="1"/>
    <n v="150000"/>
    <m/>
    <m/>
    <n v="1"/>
    <n v="150000"/>
    <m/>
    <m/>
  </r>
  <r>
    <s v="KERJASAMA MITRA"/>
    <x v="3"/>
    <d v="2023-07-25T00:00:00"/>
    <x v="2"/>
    <n v="4"/>
    <n v="130000"/>
    <m/>
    <m/>
    <n v="4"/>
    <n v="520000"/>
    <m/>
    <m/>
  </r>
  <r>
    <s v="KERJASAMA MITRA"/>
    <x v="4"/>
    <d v="2023-07-25T00:00:00"/>
    <x v="2"/>
    <n v="14"/>
    <n v="130000"/>
    <m/>
    <m/>
    <n v="14"/>
    <n v="1820000"/>
    <m/>
    <m/>
  </r>
  <r>
    <s v="WALK IN"/>
    <x v="0"/>
    <d v="2023-07-26T00:00:00"/>
    <x v="2"/>
    <n v="107"/>
    <n v="120000"/>
    <m/>
    <m/>
    <n v="107"/>
    <n v="12840000"/>
    <m/>
    <m/>
  </r>
  <r>
    <s v="WALK IN"/>
    <x v="1"/>
    <d v="2023-07-26T00:00:00"/>
    <x v="2"/>
    <n v="14"/>
    <n v="120000"/>
    <m/>
    <m/>
    <n v="14"/>
    <n v="1680000"/>
    <m/>
    <m/>
  </r>
  <r>
    <s v="KERJASAMA MITRA"/>
    <x v="2"/>
    <d v="2023-07-26T00:00:00"/>
    <x v="2"/>
    <n v="4"/>
    <n v="150000"/>
    <m/>
    <m/>
    <n v="4"/>
    <n v="600000"/>
    <m/>
    <m/>
  </r>
  <r>
    <s v="KERJASAMA MITRA"/>
    <x v="4"/>
    <d v="2023-07-26T00:00:00"/>
    <x v="2"/>
    <n v="5"/>
    <n v="130000"/>
    <m/>
    <m/>
    <n v="5"/>
    <n v="650000"/>
    <m/>
    <m/>
  </r>
  <r>
    <s v="WALK IN"/>
    <x v="0"/>
    <d v="2023-07-27T00:00:00"/>
    <x v="2"/>
    <n v="84"/>
    <n v="120000"/>
    <m/>
    <m/>
    <n v="84"/>
    <n v="10080000"/>
    <m/>
    <m/>
  </r>
  <r>
    <s v="WALK IN"/>
    <x v="1"/>
    <d v="2023-07-27T00:00:00"/>
    <x v="2"/>
    <n v="23"/>
    <n v="120000"/>
    <m/>
    <m/>
    <n v="23"/>
    <n v="2760000"/>
    <m/>
    <m/>
  </r>
  <r>
    <s v="KERJASAMA MITRA"/>
    <x v="2"/>
    <d v="2023-07-27T00:00:00"/>
    <x v="2"/>
    <n v="3"/>
    <n v="150000"/>
    <m/>
    <m/>
    <n v="3"/>
    <n v="450000"/>
    <m/>
    <m/>
  </r>
  <r>
    <s v="KERJASAMA MITRA"/>
    <x v="4"/>
    <d v="2023-07-27T00:00:00"/>
    <x v="2"/>
    <n v="4"/>
    <n v="130000"/>
    <m/>
    <m/>
    <n v="4"/>
    <n v="520000"/>
    <m/>
    <m/>
  </r>
  <r>
    <s v="WALK IN"/>
    <x v="0"/>
    <d v="2023-07-28T00:00:00"/>
    <x v="2"/>
    <n v="134"/>
    <n v="120000"/>
    <m/>
    <m/>
    <n v="134"/>
    <n v="16080000"/>
    <m/>
    <m/>
  </r>
  <r>
    <s v="WALK IN"/>
    <x v="1"/>
    <d v="2023-07-28T00:00:00"/>
    <x v="2"/>
    <n v="12"/>
    <n v="120000"/>
    <m/>
    <m/>
    <n v="12"/>
    <n v="1440000"/>
    <m/>
    <m/>
  </r>
  <r>
    <s v="KERJASAMA MITRA"/>
    <x v="2"/>
    <d v="2023-07-28T00:00:00"/>
    <x v="2"/>
    <n v="5"/>
    <n v="150000"/>
    <m/>
    <m/>
    <n v="5"/>
    <n v="750000"/>
    <m/>
    <m/>
  </r>
  <r>
    <s v="KERJASAMA MITRA"/>
    <x v="3"/>
    <d v="2023-07-28T00:00:00"/>
    <x v="2"/>
    <n v="2"/>
    <n v="130000"/>
    <m/>
    <m/>
    <n v="2"/>
    <n v="260000"/>
    <m/>
    <m/>
  </r>
  <r>
    <s v="KERJASAMA MITRA"/>
    <x v="4"/>
    <d v="2023-07-28T00:00:00"/>
    <x v="2"/>
    <n v="2"/>
    <n v="130000"/>
    <m/>
    <m/>
    <n v="2"/>
    <n v="260000"/>
    <m/>
    <m/>
  </r>
  <r>
    <s v="WALK IN"/>
    <x v="0"/>
    <d v="2023-07-29T00:00:00"/>
    <x v="2"/>
    <n v="84"/>
    <n v="120000"/>
    <m/>
    <m/>
    <n v="84"/>
    <n v="10080000"/>
    <m/>
    <m/>
  </r>
  <r>
    <s v="WALK IN"/>
    <x v="1"/>
    <d v="2023-07-29T00:00:00"/>
    <x v="2"/>
    <n v="29"/>
    <n v="120000"/>
    <m/>
    <m/>
    <n v="29"/>
    <n v="3480000"/>
    <m/>
    <m/>
  </r>
  <r>
    <s v="KERJASAMA MITRA"/>
    <x v="2"/>
    <d v="2023-07-29T00:00:00"/>
    <x v="2"/>
    <n v="9"/>
    <n v="150000"/>
    <m/>
    <m/>
    <n v="9"/>
    <n v="1350000"/>
    <m/>
    <m/>
  </r>
  <r>
    <s v="KERJASAMA MITRA"/>
    <x v="4"/>
    <d v="2023-07-29T00:00:00"/>
    <x v="2"/>
    <n v="1"/>
    <n v="130000"/>
    <m/>
    <m/>
    <n v="1"/>
    <n v="130000"/>
    <m/>
    <m/>
  </r>
  <r>
    <s v="WALK IN"/>
    <x v="0"/>
    <d v="2023-07-30T00:00:00"/>
    <x v="2"/>
    <n v="108"/>
    <n v="120000"/>
    <m/>
    <m/>
    <n v="108"/>
    <n v="12960000"/>
    <m/>
    <m/>
  </r>
  <r>
    <s v="WALK IN"/>
    <x v="1"/>
    <d v="2023-07-30T00:00:00"/>
    <x v="2"/>
    <n v="6"/>
    <n v="120000"/>
    <m/>
    <m/>
    <n v="6"/>
    <n v="720000"/>
    <m/>
    <m/>
  </r>
  <r>
    <s v="KERJASAMA MITRA"/>
    <x v="2"/>
    <d v="2023-07-30T00:00:00"/>
    <x v="2"/>
    <n v="6"/>
    <n v="150000"/>
    <m/>
    <m/>
    <n v="6"/>
    <n v="900000"/>
    <m/>
    <m/>
  </r>
  <r>
    <s v="KERJASAMA MITRA"/>
    <x v="4"/>
    <d v="2023-07-30T00:00:00"/>
    <x v="2"/>
    <n v="1"/>
    <n v="130000"/>
    <m/>
    <m/>
    <n v="1"/>
    <n v="130000"/>
    <m/>
    <m/>
  </r>
  <r>
    <s v="WALK IN"/>
    <x v="0"/>
    <d v="2023-07-31T00:00:00"/>
    <x v="2"/>
    <n v="81"/>
    <n v="120000"/>
    <m/>
    <m/>
    <n v="81"/>
    <n v="9720000"/>
    <m/>
    <m/>
  </r>
  <r>
    <s v="WALK IN"/>
    <x v="1"/>
    <d v="2023-07-31T00:00:00"/>
    <x v="2"/>
    <n v="5"/>
    <n v="120000"/>
    <m/>
    <m/>
    <n v="5"/>
    <n v="600000"/>
    <m/>
    <m/>
  </r>
  <r>
    <s v="KERJASAMA MITRA"/>
    <x v="2"/>
    <d v="2023-07-31T00:00:00"/>
    <x v="2"/>
    <n v="4"/>
    <n v="150000"/>
    <m/>
    <m/>
    <n v="4"/>
    <n v="600000"/>
    <m/>
    <m/>
  </r>
  <r>
    <s v="KERJASAMA MITRA"/>
    <x v="3"/>
    <d v="2023-07-31T00:00:00"/>
    <x v="2"/>
    <n v="3"/>
    <n v="130000"/>
    <m/>
    <m/>
    <n v="3"/>
    <n v="390000"/>
    <m/>
    <m/>
  </r>
  <r>
    <s v="KERJASAMA MITRA"/>
    <x v="4"/>
    <d v="2023-07-31T00:00:00"/>
    <x v="2"/>
    <n v="1"/>
    <n v="130000"/>
    <m/>
    <m/>
    <n v="1"/>
    <n v="130000"/>
    <m/>
    <m/>
  </r>
  <r>
    <s v="WALK IN"/>
    <x v="0"/>
    <d v="2023-08-01T00:00:00"/>
    <x v="3"/>
    <n v="32"/>
    <n v="120000"/>
    <m/>
    <m/>
    <n v="32"/>
    <n v="3840000"/>
    <m/>
    <m/>
  </r>
  <r>
    <s v="WALK IN"/>
    <x v="1"/>
    <d v="2023-08-01T00:00:00"/>
    <x v="3"/>
    <n v="42"/>
    <n v="120000"/>
    <m/>
    <m/>
    <n v="42"/>
    <n v="5040240"/>
    <m/>
    <m/>
  </r>
  <r>
    <s v="KERJASAMA MITRA"/>
    <x v="4"/>
    <d v="2023-08-01T00:00:00"/>
    <x v="3"/>
    <n v="3"/>
    <n v="130000"/>
    <m/>
    <m/>
    <n v="3"/>
    <n v="390000"/>
    <m/>
    <m/>
  </r>
  <r>
    <s v="WALK IN"/>
    <x v="0"/>
    <d v="2023-08-02T00:00:00"/>
    <x v="3"/>
    <n v="43"/>
    <n v="120000"/>
    <m/>
    <m/>
    <n v="43"/>
    <n v="5160000"/>
    <m/>
    <m/>
  </r>
  <r>
    <s v="WALK IN"/>
    <x v="1"/>
    <d v="2023-08-02T00:00:00"/>
    <x v="3"/>
    <n v="40"/>
    <n v="120000"/>
    <m/>
    <m/>
    <n v="40"/>
    <n v="4801000"/>
    <m/>
    <m/>
  </r>
  <r>
    <s v="KERJASAMA MITRA"/>
    <x v="2"/>
    <d v="2023-08-02T00:00:00"/>
    <x v="3"/>
    <n v="6"/>
    <n v="150000"/>
    <m/>
    <m/>
    <n v="6"/>
    <n v="900000"/>
    <m/>
    <m/>
  </r>
  <r>
    <s v="KERJASAMA MITRA"/>
    <x v="3"/>
    <d v="2023-08-02T00:00:00"/>
    <x v="3"/>
    <n v="2"/>
    <n v="130000"/>
    <m/>
    <m/>
    <n v="2"/>
    <n v="260000"/>
    <m/>
    <m/>
  </r>
  <r>
    <s v="KERJASAMA MITRA"/>
    <x v="5"/>
    <d v="2023-08-02T00:00:00"/>
    <x v="3"/>
    <n v="4"/>
    <n v="130000"/>
    <m/>
    <m/>
    <n v="4"/>
    <n v="520000"/>
    <m/>
    <m/>
  </r>
  <r>
    <s v="WALK IN"/>
    <x v="0"/>
    <d v="2023-08-03T00:00:00"/>
    <x v="3"/>
    <n v="10"/>
    <n v="120000"/>
    <m/>
    <m/>
    <n v="10"/>
    <n v="1200000"/>
    <m/>
    <m/>
  </r>
  <r>
    <s v="WALK IN"/>
    <x v="1"/>
    <d v="2023-08-03T00:00:00"/>
    <x v="3"/>
    <n v="127"/>
    <n v="120000"/>
    <m/>
    <m/>
    <n v="127"/>
    <n v="15240000"/>
    <m/>
    <m/>
  </r>
  <r>
    <s v="KERJASAMA MITRA"/>
    <x v="3"/>
    <d v="2023-08-03T00:00:00"/>
    <x v="3"/>
    <n v="4"/>
    <n v="130000"/>
    <m/>
    <m/>
    <n v="4"/>
    <n v="520000"/>
    <m/>
    <m/>
  </r>
  <r>
    <s v="KERJASAMA MITRA"/>
    <x v="4"/>
    <d v="2023-08-03T00:00:00"/>
    <x v="3"/>
    <n v="9"/>
    <n v="130000"/>
    <m/>
    <m/>
    <n v="9"/>
    <n v="1170000"/>
    <m/>
    <m/>
  </r>
  <r>
    <s v="WALK IN"/>
    <x v="0"/>
    <d v="2023-08-04T00:00:00"/>
    <x v="3"/>
    <n v="91"/>
    <n v="120000"/>
    <m/>
    <m/>
    <n v="91"/>
    <n v="10920000"/>
    <m/>
    <m/>
  </r>
  <r>
    <s v="WALK IN"/>
    <x v="1"/>
    <d v="2023-08-04T00:00:00"/>
    <x v="3"/>
    <n v="38"/>
    <n v="120000"/>
    <m/>
    <m/>
    <n v="38"/>
    <n v="4560000"/>
    <m/>
    <m/>
  </r>
  <r>
    <s v="KERJASAMA MITRA"/>
    <x v="2"/>
    <d v="2023-08-04T00:00:00"/>
    <x v="3"/>
    <n v="5"/>
    <n v="150000"/>
    <m/>
    <m/>
    <n v="5"/>
    <n v="750000"/>
    <m/>
    <m/>
  </r>
  <r>
    <s v="KERJASAMA MITRA"/>
    <x v="3"/>
    <d v="2023-08-04T00:00:00"/>
    <x v="3"/>
    <n v="2"/>
    <n v="130000"/>
    <m/>
    <m/>
    <n v="2"/>
    <n v="260000"/>
    <m/>
    <m/>
  </r>
  <r>
    <s v="KERJASAMA MITRA"/>
    <x v="4"/>
    <d v="2023-08-04T00:00:00"/>
    <x v="3"/>
    <n v="2"/>
    <n v="130000"/>
    <m/>
    <m/>
    <n v="2"/>
    <n v="260000"/>
    <m/>
    <m/>
  </r>
  <r>
    <s v="KERJASAMA MITRA"/>
    <x v="5"/>
    <d v="2023-08-04T00:00:00"/>
    <x v="3"/>
    <n v="3"/>
    <n v="130000"/>
    <m/>
    <m/>
    <n v="3"/>
    <n v="390000"/>
    <m/>
    <m/>
  </r>
  <r>
    <s v="KERJASAMA MITRA"/>
    <x v="6"/>
    <d v="2023-08-04T00:00:00"/>
    <x v="3"/>
    <n v="14"/>
    <n v="130000"/>
    <m/>
    <m/>
    <n v="14"/>
    <n v="1820000"/>
    <m/>
    <m/>
  </r>
  <r>
    <s v="WALK IN"/>
    <x v="0"/>
    <d v="2023-08-05T00:00:00"/>
    <x v="3"/>
    <n v="52"/>
    <n v="120000"/>
    <m/>
    <m/>
    <n v="52"/>
    <n v="6240000"/>
    <m/>
    <m/>
  </r>
  <r>
    <s v="WALK IN"/>
    <x v="1"/>
    <d v="2023-08-05T00:00:00"/>
    <x v="3"/>
    <n v="5"/>
    <n v="120000"/>
    <m/>
    <m/>
    <n v="5"/>
    <n v="600000"/>
    <m/>
    <m/>
  </r>
  <r>
    <s v="KERJASAMA MITRA"/>
    <x v="2"/>
    <d v="2023-08-05T00:00:00"/>
    <x v="3"/>
    <n v="4"/>
    <n v="150000"/>
    <m/>
    <m/>
    <n v="4"/>
    <n v="600000"/>
    <m/>
    <m/>
  </r>
  <r>
    <s v="KERJASAMA MITRA"/>
    <x v="3"/>
    <d v="2023-08-05T00:00:00"/>
    <x v="3"/>
    <n v="5"/>
    <n v="130000"/>
    <m/>
    <m/>
    <n v="5"/>
    <n v="650000"/>
    <m/>
    <m/>
  </r>
  <r>
    <s v="KERJASAMA MITRA"/>
    <x v="4"/>
    <d v="2023-08-05T00:00:00"/>
    <x v="3"/>
    <n v="3"/>
    <n v="130000"/>
    <m/>
    <m/>
    <n v="3"/>
    <n v="390000"/>
    <m/>
    <m/>
  </r>
  <r>
    <s v="KERJASAMA MITRA"/>
    <x v="5"/>
    <d v="2023-08-05T00:00:00"/>
    <x v="3"/>
    <n v="1"/>
    <n v="130000"/>
    <m/>
    <m/>
    <n v="1"/>
    <n v="130000"/>
    <m/>
    <m/>
  </r>
  <r>
    <s v="KERJASAMA MITRA"/>
    <x v="6"/>
    <d v="2023-08-05T00:00:00"/>
    <x v="3"/>
    <n v="28"/>
    <n v="130000"/>
    <m/>
    <m/>
    <n v="28"/>
    <n v="3640000"/>
    <m/>
    <m/>
  </r>
  <r>
    <s v="WALK IN"/>
    <x v="0"/>
    <d v="2023-08-06T00:00:00"/>
    <x v="3"/>
    <n v="63"/>
    <n v="120000"/>
    <m/>
    <m/>
    <n v="63"/>
    <n v="7560000"/>
    <m/>
    <m/>
  </r>
  <r>
    <s v="WALK IN"/>
    <x v="1"/>
    <d v="2023-08-06T00:00:00"/>
    <x v="3"/>
    <n v="10"/>
    <n v="120000"/>
    <m/>
    <m/>
    <n v="10"/>
    <n v="1200000"/>
    <m/>
    <m/>
  </r>
  <r>
    <s v="KERJASAMA MITRA"/>
    <x v="2"/>
    <d v="2023-08-06T00:00:00"/>
    <x v="3"/>
    <n v="2"/>
    <n v="150000"/>
    <m/>
    <m/>
    <n v="2"/>
    <n v="300000"/>
    <m/>
    <m/>
  </r>
  <r>
    <s v="KERJASAMA MITRA"/>
    <x v="4"/>
    <d v="2023-08-06T00:00:00"/>
    <x v="3"/>
    <n v="2"/>
    <n v="130000"/>
    <m/>
    <m/>
    <n v="2"/>
    <n v="260000"/>
    <m/>
    <m/>
  </r>
  <r>
    <s v="KERJASAMA MITRA"/>
    <x v="5"/>
    <d v="2023-08-06T00:00:00"/>
    <x v="3"/>
    <n v="4"/>
    <n v="130000"/>
    <m/>
    <m/>
    <n v="4"/>
    <n v="520000"/>
    <m/>
    <m/>
  </r>
  <r>
    <s v="KERJASAMA MITRA"/>
    <x v="6"/>
    <d v="2023-08-06T00:00:00"/>
    <x v="3"/>
    <n v="60"/>
    <n v="130000"/>
    <m/>
    <m/>
    <n v="60"/>
    <n v="7800000"/>
    <m/>
    <m/>
  </r>
  <r>
    <s v="KERJASAMA MITRA"/>
    <x v="7"/>
    <d v="2023-08-06T00:00:00"/>
    <x v="3"/>
    <n v="13"/>
    <n v="110000"/>
    <m/>
    <m/>
    <n v="13"/>
    <n v="1430000"/>
    <m/>
    <m/>
  </r>
  <r>
    <s v="WALK IN"/>
    <x v="0"/>
    <d v="2023-08-07T00:00:00"/>
    <x v="3"/>
    <n v="58"/>
    <n v="120000"/>
    <m/>
    <m/>
    <n v="58"/>
    <n v="6960100"/>
    <m/>
    <m/>
  </r>
  <r>
    <s v="WALK IN"/>
    <x v="1"/>
    <d v="2023-08-07T00:00:00"/>
    <x v="3"/>
    <n v="3"/>
    <n v="120000"/>
    <m/>
    <m/>
    <n v="3"/>
    <n v="360000"/>
    <m/>
    <m/>
  </r>
  <r>
    <s v="KERJASAMA MITRA"/>
    <x v="2"/>
    <d v="2023-08-07T00:00:00"/>
    <x v="3"/>
    <n v="1"/>
    <n v="150000"/>
    <m/>
    <m/>
    <n v="1"/>
    <n v="150000"/>
    <m/>
    <m/>
  </r>
  <r>
    <s v="KERJASAMA MITRA"/>
    <x v="3"/>
    <d v="2023-08-07T00:00:00"/>
    <x v="3"/>
    <n v="4"/>
    <n v="130000"/>
    <m/>
    <m/>
    <n v="4"/>
    <n v="520000"/>
    <m/>
    <m/>
  </r>
  <r>
    <s v="KERJASAMA MITRA"/>
    <x v="5"/>
    <d v="2023-08-07T00:00:00"/>
    <x v="3"/>
    <n v="11"/>
    <n v="130000"/>
    <m/>
    <m/>
    <n v="11"/>
    <n v="1430000"/>
    <m/>
    <m/>
  </r>
  <r>
    <s v="KERJASAMA MITRA"/>
    <x v="4"/>
    <d v="2023-08-07T00:00:00"/>
    <x v="3"/>
    <n v="4"/>
    <n v="130000"/>
    <m/>
    <m/>
    <n v="4"/>
    <n v="520000"/>
    <m/>
    <m/>
  </r>
  <r>
    <s v="KERJASAMA MITRA"/>
    <x v="6"/>
    <d v="2023-08-07T00:00:00"/>
    <x v="3"/>
    <n v="22"/>
    <n v="130000"/>
    <m/>
    <m/>
    <n v="22"/>
    <n v="2860000"/>
    <m/>
    <m/>
  </r>
  <r>
    <s v="WALK IN"/>
    <x v="0"/>
    <d v="2023-08-08T00:00:00"/>
    <x v="3"/>
    <n v="60"/>
    <n v="120000"/>
    <m/>
    <m/>
    <n v="60"/>
    <n v="7200000"/>
    <m/>
    <m/>
  </r>
  <r>
    <s v="WALK IN"/>
    <x v="1"/>
    <d v="2023-08-08T00:00:00"/>
    <x v="3"/>
    <n v="12"/>
    <n v="120000"/>
    <m/>
    <m/>
    <n v="12"/>
    <n v="1440000"/>
    <m/>
    <m/>
  </r>
  <r>
    <s v="KERJASAMA MITRA"/>
    <x v="2"/>
    <d v="2023-08-08T00:00:00"/>
    <x v="3"/>
    <n v="6"/>
    <n v="150000"/>
    <m/>
    <m/>
    <n v="6"/>
    <n v="900000"/>
    <m/>
    <m/>
  </r>
  <r>
    <s v="KERJASAMA MITRA"/>
    <x v="5"/>
    <d v="2023-08-08T00:00:00"/>
    <x v="3"/>
    <n v="2"/>
    <n v="130000"/>
    <m/>
    <m/>
    <n v="2"/>
    <n v="260000"/>
    <m/>
    <m/>
  </r>
  <r>
    <s v="KERJASAMA MITRA"/>
    <x v="4"/>
    <d v="2023-08-08T00:00:00"/>
    <x v="3"/>
    <n v="5"/>
    <n v="130000"/>
    <m/>
    <m/>
    <n v="5"/>
    <n v="650000"/>
    <m/>
    <m/>
  </r>
  <r>
    <s v="KERJASAMA MITRA"/>
    <x v="6"/>
    <d v="2023-08-08T00:00:00"/>
    <x v="3"/>
    <n v="41"/>
    <n v="130000"/>
    <m/>
    <m/>
    <n v="41"/>
    <n v="5330000"/>
    <m/>
    <m/>
  </r>
  <r>
    <s v="WALK IN"/>
    <x v="0"/>
    <d v="2023-08-09T00:00:00"/>
    <x v="3"/>
    <n v="59"/>
    <n v="120000"/>
    <m/>
    <m/>
    <n v="59"/>
    <n v="7080000"/>
    <m/>
    <m/>
  </r>
  <r>
    <s v="WALK IN"/>
    <x v="1"/>
    <d v="2023-08-09T00:00:00"/>
    <x v="3"/>
    <n v="7"/>
    <n v="120000"/>
    <m/>
    <m/>
    <n v="7"/>
    <n v="840000"/>
    <m/>
    <m/>
  </r>
  <r>
    <s v="KERJASAMA MITRA"/>
    <x v="2"/>
    <d v="2023-08-09T00:00:00"/>
    <x v="3"/>
    <n v="5"/>
    <n v="150000"/>
    <m/>
    <m/>
    <n v="5"/>
    <n v="750000"/>
    <m/>
    <m/>
  </r>
  <r>
    <s v="KERJASAMA MITRA"/>
    <x v="3"/>
    <d v="2023-08-09T00:00:00"/>
    <x v="3"/>
    <n v="3"/>
    <n v="130000"/>
    <m/>
    <m/>
    <n v="3"/>
    <n v="390000"/>
    <m/>
    <m/>
  </r>
  <r>
    <s v="KERJASAMA MITRA"/>
    <x v="4"/>
    <d v="2023-08-09T00:00:00"/>
    <x v="3"/>
    <n v="4"/>
    <n v="130000"/>
    <m/>
    <m/>
    <n v="4"/>
    <n v="520000"/>
    <m/>
    <m/>
  </r>
  <r>
    <s v="KERJASAMA MITRA"/>
    <x v="5"/>
    <d v="2023-08-09T00:00:00"/>
    <x v="3"/>
    <n v="3"/>
    <n v="130000"/>
    <m/>
    <m/>
    <n v="3"/>
    <n v="390000"/>
    <m/>
    <m/>
  </r>
  <r>
    <s v="KERJASAMA MITRA"/>
    <x v="6"/>
    <d v="2023-08-09T00:00:00"/>
    <x v="3"/>
    <n v="47"/>
    <n v="130000"/>
    <m/>
    <m/>
    <n v="47"/>
    <n v="6110000"/>
    <m/>
    <m/>
  </r>
  <r>
    <s v="WALK IN"/>
    <x v="0"/>
    <d v="2023-08-10T00:00:00"/>
    <x v="3"/>
    <n v="75"/>
    <n v="120000"/>
    <m/>
    <m/>
    <n v="75"/>
    <n v="9000000"/>
    <m/>
    <m/>
  </r>
  <r>
    <s v="WALK IN"/>
    <x v="1"/>
    <d v="2023-08-10T00:00:00"/>
    <x v="3"/>
    <n v="19"/>
    <n v="120000"/>
    <m/>
    <m/>
    <n v="19"/>
    <n v="2280000"/>
    <m/>
    <m/>
  </r>
  <r>
    <s v="KERJASAMA MITRA"/>
    <x v="2"/>
    <d v="2023-08-10T00:00:00"/>
    <x v="3"/>
    <n v="2"/>
    <n v="150000"/>
    <m/>
    <m/>
    <n v="2"/>
    <n v="300000"/>
    <m/>
    <m/>
  </r>
  <r>
    <s v="KERJASAMA MITRA"/>
    <x v="5"/>
    <d v="2023-08-10T00:00:00"/>
    <x v="3"/>
    <n v="5"/>
    <n v="130000"/>
    <m/>
    <m/>
    <n v="5"/>
    <n v="650000"/>
    <m/>
    <m/>
  </r>
  <r>
    <s v="KERJASAMA MITRA"/>
    <x v="4"/>
    <d v="2023-08-10T00:00:00"/>
    <x v="3"/>
    <n v="6"/>
    <n v="130000"/>
    <m/>
    <m/>
    <n v="6"/>
    <n v="780000"/>
    <m/>
    <m/>
  </r>
  <r>
    <s v="KERJASAMA MITRA"/>
    <x v="6"/>
    <d v="2023-08-10T00:00:00"/>
    <x v="3"/>
    <n v="48"/>
    <n v="130000"/>
    <m/>
    <m/>
    <n v="48"/>
    <n v="6240000"/>
    <m/>
    <m/>
  </r>
  <r>
    <s v="WALK IN"/>
    <x v="0"/>
    <d v="2023-08-11T00:00:00"/>
    <x v="3"/>
    <n v="60"/>
    <n v="120000"/>
    <m/>
    <m/>
    <n v="60"/>
    <n v="7200000"/>
    <m/>
    <m/>
  </r>
  <r>
    <s v="WALK IN"/>
    <x v="1"/>
    <d v="2023-08-11T00:00:00"/>
    <x v="3"/>
    <n v="10"/>
    <n v="120000"/>
    <m/>
    <m/>
    <n v="10"/>
    <n v="1200000"/>
    <m/>
    <m/>
  </r>
  <r>
    <s v="KERJASAMA MITRA"/>
    <x v="2"/>
    <d v="2023-08-11T00:00:00"/>
    <x v="3"/>
    <n v="2"/>
    <n v="150000"/>
    <m/>
    <m/>
    <n v="2"/>
    <n v="300000"/>
    <m/>
    <m/>
  </r>
  <r>
    <s v="KERJASAMA MITRA"/>
    <x v="5"/>
    <d v="2023-08-11T00:00:00"/>
    <x v="3"/>
    <n v="4"/>
    <n v="130000"/>
    <m/>
    <m/>
    <n v="4"/>
    <n v="520000"/>
    <m/>
    <m/>
  </r>
  <r>
    <s v="KERJASAMA MITRA"/>
    <x v="4"/>
    <d v="2023-08-11T00:00:00"/>
    <x v="3"/>
    <n v="11"/>
    <n v="130000"/>
    <m/>
    <m/>
    <n v="11"/>
    <n v="1430000"/>
    <m/>
    <m/>
  </r>
  <r>
    <s v="KERJASAMA MITRA"/>
    <x v="6"/>
    <d v="2023-08-11T00:00:00"/>
    <x v="3"/>
    <n v="68"/>
    <n v="130000"/>
    <m/>
    <m/>
    <n v="68"/>
    <n v="8840000"/>
    <m/>
    <m/>
  </r>
  <r>
    <s v="KERJASAMA MITRA"/>
    <x v="7"/>
    <d v="2023-08-11T00:00:00"/>
    <x v="3"/>
    <n v="17"/>
    <n v="110000"/>
    <m/>
    <m/>
    <n v="17"/>
    <n v="1870000"/>
    <m/>
    <m/>
  </r>
  <r>
    <s v="WALK IN"/>
    <x v="0"/>
    <d v="2023-08-12T00:00:00"/>
    <x v="3"/>
    <n v="74"/>
    <n v="120000"/>
    <m/>
    <m/>
    <n v="74"/>
    <n v="8900000"/>
    <m/>
    <m/>
  </r>
  <r>
    <s v="WALK IN"/>
    <x v="1"/>
    <d v="2023-08-12T00:00:00"/>
    <x v="3"/>
    <n v="4"/>
    <n v="120000"/>
    <m/>
    <m/>
    <n v="4"/>
    <n v="480000"/>
    <m/>
    <m/>
  </r>
  <r>
    <s v="KERJASAMA MITRA"/>
    <x v="2"/>
    <d v="2023-08-12T00:00:00"/>
    <x v="3"/>
    <n v="9"/>
    <n v="150000"/>
    <m/>
    <m/>
    <n v="9"/>
    <n v="1350000"/>
    <m/>
    <m/>
  </r>
  <r>
    <s v="KERJASAMA MITRA"/>
    <x v="5"/>
    <d v="2023-08-12T00:00:00"/>
    <x v="3"/>
    <n v="4"/>
    <n v="130000"/>
    <m/>
    <m/>
    <n v="4"/>
    <n v="520000"/>
    <m/>
    <m/>
  </r>
  <r>
    <s v="KERJASAMA MITRA"/>
    <x v="4"/>
    <d v="2023-08-12T00:00:00"/>
    <x v="3"/>
    <n v="14"/>
    <n v="130000"/>
    <m/>
    <m/>
    <n v="14"/>
    <n v="1820000"/>
    <m/>
    <m/>
  </r>
  <r>
    <s v="KERJASAMA MITRA"/>
    <x v="6"/>
    <d v="2023-08-12T00:00:00"/>
    <x v="3"/>
    <n v="60"/>
    <n v="130000"/>
    <m/>
    <m/>
    <n v="60"/>
    <n v="7800000"/>
    <m/>
    <m/>
  </r>
  <r>
    <s v="WALK IN"/>
    <x v="0"/>
    <d v="2023-08-13T00:00:00"/>
    <x v="3"/>
    <n v="39"/>
    <n v="99600"/>
    <m/>
    <m/>
    <n v="39"/>
    <n v="3884400"/>
    <m/>
    <m/>
  </r>
  <r>
    <s v="WALK IN"/>
    <x v="1"/>
    <d v="2023-08-13T00:00:00"/>
    <x v="3"/>
    <n v="8"/>
    <n v="99600"/>
    <m/>
    <m/>
    <n v="8"/>
    <n v="796800"/>
    <m/>
    <m/>
  </r>
  <r>
    <s v="KERJASAMA MITRA"/>
    <x v="2"/>
    <d v="2023-08-13T00:00:00"/>
    <x v="3"/>
    <n v="6"/>
    <n v="150000"/>
    <m/>
    <m/>
    <n v="6"/>
    <n v="900000"/>
    <m/>
    <m/>
  </r>
  <r>
    <s v="KERJASAMA MITRA"/>
    <x v="3"/>
    <d v="2023-08-13T00:00:00"/>
    <x v="3"/>
    <n v="4"/>
    <n v="130000"/>
    <m/>
    <m/>
    <n v="4"/>
    <n v="520000"/>
    <m/>
    <m/>
  </r>
  <r>
    <s v="KERJASAMA MITRA"/>
    <x v="5"/>
    <d v="2023-08-13T00:00:00"/>
    <x v="3"/>
    <n v="6"/>
    <n v="130000"/>
    <m/>
    <m/>
    <n v="6"/>
    <n v="780000"/>
    <m/>
    <m/>
  </r>
  <r>
    <s v="KERJASAMA MITRA"/>
    <x v="4"/>
    <d v="2023-08-13T00:00:00"/>
    <x v="3"/>
    <n v="5"/>
    <n v="130000"/>
    <m/>
    <m/>
    <n v="5"/>
    <n v="650000"/>
    <m/>
    <m/>
  </r>
  <r>
    <s v="KERJASAMA MITRA"/>
    <x v="6"/>
    <d v="2023-08-13T00:00:00"/>
    <x v="3"/>
    <n v="71"/>
    <n v="130000"/>
    <m/>
    <m/>
    <n v="71"/>
    <n v="9230000"/>
    <m/>
    <m/>
  </r>
  <r>
    <s v="KERJASAMA MITRA"/>
    <x v="7"/>
    <d v="2023-08-13T00:00:00"/>
    <x v="3"/>
    <n v="2"/>
    <n v="110000"/>
    <m/>
    <m/>
    <n v="2"/>
    <n v="220000"/>
    <m/>
    <m/>
  </r>
  <r>
    <s v="WALK IN"/>
    <x v="0"/>
    <d v="2023-08-14T00:00:00"/>
    <x v="3"/>
    <n v="48"/>
    <n v="99600"/>
    <m/>
    <m/>
    <n v="48"/>
    <n v="4780800"/>
    <m/>
    <m/>
  </r>
  <r>
    <s v="WALK IN"/>
    <x v="1"/>
    <d v="2023-08-14T00:00:00"/>
    <x v="3"/>
    <n v="12"/>
    <n v="99600"/>
    <m/>
    <m/>
    <n v="12"/>
    <n v="1195200"/>
    <m/>
    <m/>
  </r>
  <r>
    <s v="KERJASAMA MITRA"/>
    <x v="2"/>
    <d v="2023-08-14T00:00:00"/>
    <x v="3"/>
    <n v="4"/>
    <n v="150000"/>
    <m/>
    <m/>
    <n v="4"/>
    <n v="600000"/>
    <m/>
    <m/>
  </r>
  <r>
    <s v="KERJASAMA MITRA"/>
    <x v="4"/>
    <d v="2023-08-14T00:00:00"/>
    <x v="3"/>
    <n v="4"/>
    <n v="130000"/>
    <m/>
    <m/>
    <n v="4"/>
    <n v="520000"/>
    <m/>
    <m/>
  </r>
  <r>
    <s v="KERJASAMA MITRA"/>
    <x v="5"/>
    <d v="2023-08-14T00:00:00"/>
    <x v="3"/>
    <n v="1"/>
    <n v="130000"/>
    <m/>
    <m/>
    <n v="1"/>
    <n v="130000"/>
    <m/>
    <m/>
  </r>
  <r>
    <s v="KERJASAMA MITRA"/>
    <x v="6"/>
    <d v="2023-08-14T00:00:00"/>
    <x v="3"/>
    <n v="62"/>
    <n v="130000"/>
    <m/>
    <m/>
    <n v="62"/>
    <n v="8060000"/>
    <m/>
    <m/>
  </r>
  <r>
    <s v="WALK IN"/>
    <x v="0"/>
    <d v="2023-08-15T00:00:00"/>
    <x v="3"/>
    <n v="68"/>
    <n v="99600"/>
    <m/>
    <m/>
    <n v="68"/>
    <n v="6772800"/>
    <m/>
    <m/>
  </r>
  <r>
    <s v="WALK IN"/>
    <x v="1"/>
    <d v="2023-08-15T00:00:00"/>
    <x v="3"/>
    <n v="33"/>
    <n v="99600"/>
    <m/>
    <m/>
    <n v="33"/>
    <n v="3286800"/>
    <m/>
    <m/>
  </r>
  <r>
    <s v="KERJASAMA MITRA"/>
    <x v="2"/>
    <d v="2023-08-15T00:00:00"/>
    <x v="3"/>
    <n v="7"/>
    <n v="150000"/>
    <m/>
    <m/>
    <n v="7"/>
    <n v="1050000"/>
    <m/>
    <m/>
  </r>
  <r>
    <s v="KERJASAMA MITRA"/>
    <x v="3"/>
    <d v="2023-08-15T00:00:00"/>
    <x v="3"/>
    <n v="9"/>
    <n v="130000"/>
    <m/>
    <m/>
    <n v="9"/>
    <n v="1170000"/>
    <m/>
    <m/>
  </r>
  <r>
    <s v="KERJASAMA MITRA"/>
    <x v="5"/>
    <d v="2023-08-15T00:00:00"/>
    <x v="3"/>
    <n v="7"/>
    <n v="130000"/>
    <m/>
    <m/>
    <n v="7"/>
    <n v="910000"/>
    <m/>
    <m/>
  </r>
  <r>
    <s v="KERJASAMA MITRA"/>
    <x v="4"/>
    <d v="2023-08-15T00:00:00"/>
    <x v="3"/>
    <n v="6"/>
    <n v="130000"/>
    <m/>
    <m/>
    <n v="6"/>
    <n v="780000"/>
    <m/>
    <m/>
  </r>
  <r>
    <s v="KERJASAMA MITRA"/>
    <x v="6"/>
    <d v="2023-08-15T00:00:00"/>
    <x v="3"/>
    <n v="37"/>
    <n v="130000"/>
    <m/>
    <m/>
    <n v="37"/>
    <n v="4810000"/>
    <m/>
    <m/>
  </r>
  <r>
    <s v="WALK IN"/>
    <x v="0"/>
    <d v="2023-08-16T00:00:00"/>
    <x v="3"/>
    <n v="96"/>
    <n v="99600"/>
    <m/>
    <m/>
    <n v="96"/>
    <n v="9561600"/>
    <m/>
    <m/>
  </r>
  <r>
    <s v="WALK IN"/>
    <x v="1"/>
    <d v="2023-08-16T00:00:00"/>
    <x v="3"/>
    <n v="42"/>
    <n v="99600"/>
    <m/>
    <m/>
    <n v="42"/>
    <n v="4183200"/>
    <m/>
    <m/>
  </r>
  <r>
    <s v="KERJASAMA MITRA"/>
    <x v="2"/>
    <d v="2023-08-16T00:00:00"/>
    <x v="3"/>
    <n v="2"/>
    <n v="150000"/>
    <m/>
    <m/>
    <n v="2"/>
    <n v="300000"/>
    <m/>
    <m/>
  </r>
  <r>
    <s v="KERJASAMA MITRA"/>
    <x v="3"/>
    <d v="2023-08-16T00:00:00"/>
    <x v="3"/>
    <n v="8"/>
    <n v="130000"/>
    <m/>
    <m/>
    <n v="8"/>
    <n v="1040000"/>
    <m/>
    <m/>
  </r>
  <r>
    <s v="KERJASAMA MITRA"/>
    <x v="4"/>
    <d v="2023-08-16T00:00:00"/>
    <x v="3"/>
    <n v="22"/>
    <n v="130000"/>
    <m/>
    <m/>
    <n v="22"/>
    <n v="2860000"/>
    <m/>
    <m/>
  </r>
  <r>
    <s v="KERJASAMA MITRA"/>
    <x v="5"/>
    <d v="2023-08-16T00:00:00"/>
    <x v="3"/>
    <n v="10"/>
    <n v="130000"/>
    <m/>
    <m/>
    <n v="10"/>
    <n v="1300000"/>
    <m/>
    <m/>
  </r>
  <r>
    <s v="KERJASAMA MITRA"/>
    <x v="6"/>
    <d v="2023-08-16T00:00:00"/>
    <x v="3"/>
    <n v="58"/>
    <n v="130000"/>
    <m/>
    <m/>
    <n v="58"/>
    <n v="7540000"/>
    <m/>
    <m/>
  </r>
  <r>
    <s v="WALK IN"/>
    <x v="0"/>
    <d v="2023-08-17T00:00:00"/>
    <x v="3"/>
    <n v="122"/>
    <n v="99600"/>
    <m/>
    <m/>
    <n v="122"/>
    <n v="12151200"/>
    <m/>
    <m/>
  </r>
  <r>
    <s v="WALK IN"/>
    <x v="1"/>
    <d v="2023-08-17T00:00:00"/>
    <x v="3"/>
    <n v="21"/>
    <n v="99600"/>
    <m/>
    <m/>
    <n v="21"/>
    <n v="2091600"/>
    <m/>
    <m/>
  </r>
  <r>
    <s v="KERJASAMA MITRA"/>
    <x v="2"/>
    <d v="2023-08-17T00:00:00"/>
    <x v="3"/>
    <n v="1"/>
    <n v="150000"/>
    <m/>
    <m/>
    <n v="1"/>
    <n v="150000"/>
    <m/>
    <m/>
  </r>
  <r>
    <s v="KERJASAMA MITRA"/>
    <x v="3"/>
    <d v="2023-08-17T00:00:00"/>
    <x v="3"/>
    <n v="6"/>
    <n v="130000"/>
    <m/>
    <m/>
    <n v="6"/>
    <n v="780000"/>
    <m/>
    <m/>
  </r>
  <r>
    <s v="KERJASAMA MITRA"/>
    <x v="4"/>
    <d v="2023-08-17T00:00:00"/>
    <x v="3"/>
    <n v="7"/>
    <n v="130000"/>
    <m/>
    <m/>
    <n v="7"/>
    <n v="910000"/>
    <m/>
    <m/>
  </r>
  <r>
    <s v="KERJASAMA MITRA"/>
    <x v="5"/>
    <d v="2023-08-17T00:00:00"/>
    <x v="3"/>
    <n v="8"/>
    <n v="130000"/>
    <m/>
    <m/>
    <n v="8"/>
    <n v="1040000"/>
    <m/>
    <m/>
  </r>
  <r>
    <s v="KERJASAMA MITRA"/>
    <x v="6"/>
    <d v="2023-08-17T00:00:00"/>
    <x v="3"/>
    <n v="51"/>
    <n v="130000"/>
    <m/>
    <m/>
    <n v="51"/>
    <n v="6630000"/>
    <m/>
    <m/>
  </r>
  <r>
    <s v="KERJASAMA MITRA"/>
    <x v="7"/>
    <d v="2023-08-17T00:00:00"/>
    <x v="3"/>
    <n v="8"/>
    <n v="110000"/>
    <m/>
    <m/>
    <n v="8"/>
    <n v="880000"/>
    <m/>
    <m/>
  </r>
  <r>
    <s v="WALK IN"/>
    <x v="0"/>
    <d v="2023-08-18T00:00:00"/>
    <x v="3"/>
    <n v="89"/>
    <n v="99600"/>
    <m/>
    <m/>
    <n v="89"/>
    <n v="8864400"/>
    <m/>
    <m/>
  </r>
  <r>
    <s v="WALK IN"/>
    <x v="1"/>
    <d v="2023-08-18T00:00:00"/>
    <x v="3"/>
    <n v="17"/>
    <n v="99600"/>
    <m/>
    <m/>
    <n v="17"/>
    <n v="1693200"/>
    <m/>
    <m/>
  </r>
  <r>
    <s v="KERJASAMA MITRA"/>
    <x v="2"/>
    <d v="2023-08-18T00:00:00"/>
    <x v="3"/>
    <n v="3"/>
    <n v="150000"/>
    <m/>
    <m/>
    <n v="3"/>
    <n v="450000"/>
    <m/>
    <m/>
  </r>
  <r>
    <s v="KERJASAMA MITRA"/>
    <x v="3"/>
    <d v="2023-08-18T00:00:00"/>
    <x v="3"/>
    <n v="3"/>
    <n v="130000"/>
    <m/>
    <m/>
    <n v="3"/>
    <n v="390000"/>
    <m/>
    <m/>
  </r>
  <r>
    <s v="KERJASAMA MITRA"/>
    <x v="4"/>
    <d v="2023-08-18T00:00:00"/>
    <x v="3"/>
    <n v="3"/>
    <n v="130000"/>
    <m/>
    <m/>
    <n v="3"/>
    <n v="390000"/>
    <m/>
    <m/>
  </r>
  <r>
    <s v="KERJASAMA MITRA"/>
    <x v="5"/>
    <d v="2023-08-18T00:00:00"/>
    <x v="3"/>
    <n v="5"/>
    <n v="130000"/>
    <m/>
    <m/>
    <n v="5"/>
    <n v="650000"/>
    <m/>
    <m/>
  </r>
  <r>
    <s v="KERJASAMA MITRA"/>
    <x v="6"/>
    <d v="2023-08-18T00:00:00"/>
    <x v="3"/>
    <n v="63"/>
    <n v="130000"/>
    <m/>
    <m/>
    <n v="63"/>
    <n v="8190000"/>
    <m/>
    <m/>
  </r>
  <r>
    <s v="WALK IN"/>
    <x v="0"/>
    <d v="2023-08-19T00:00:00"/>
    <x v="3"/>
    <n v="58"/>
    <n v="120000"/>
    <m/>
    <m/>
    <n v="58"/>
    <n v="7000000"/>
    <m/>
    <m/>
  </r>
  <r>
    <s v="WALK IN"/>
    <x v="1"/>
    <d v="2023-08-19T00:00:00"/>
    <x v="3"/>
    <n v="5"/>
    <n v="120000"/>
    <m/>
    <m/>
    <n v="5"/>
    <n v="600000"/>
    <m/>
    <m/>
  </r>
  <r>
    <s v="KERJASAMA MITRA"/>
    <x v="3"/>
    <d v="2023-08-19T00:00:00"/>
    <x v="3"/>
    <n v="7"/>
    <n v="130000"/>
    <m/>
    <m/>
    <n v="7"/>
    <n v="910000"/>
    <m/>
    <m/>
  </r>
  <r>
    <s v="KERJASAMA MITRA"/>
    <x v="4"/>
    <d v="2023-08-19T00:00:00"/>
    <x v="3"/>
    <n v="10"/>
    <n v="130000"/>
    <m/>
    <m/>
    <n v="10"/>
    <n v="1300000"/>
    <m/>
    <m/>
  </r>
  <r>
    <s v="KERJASAMA MITRA"/>
    <x v="5"/>
    <d v="2023-08-19T00:00:00"/>
    <x v="3"/>
    <n v="3"/>
    <n v="130000"/>
    <m/>
    <m/>
    <n v="3"/>
    <n v="390000"/>
    <m/>
    <m/>
  </r>
  <r>
    <s v="KERJASAMA MITRA"/>
    <x v="6"/>
    <d v="2023-08-19T00:00:00"/>
    <x v="3"/>
    <n v="54"/>
    <n v="130000"/>
    <m/>
    <m/>
    <n v="54"/>
    <n v="7020000"/>
    <m/>
    <m/>
  </r>
  <r>
    <s v="WALK IN"/>
    <x v="0"/>
    <d v="2023-08-20T00:00:00"/>
    <x v="3"/>
    <n v="99"/>
    <n v="120000"/>
    <m/>
    <m/>
    <n v="99"/>
    <n v="11880000"/>
    <m/>
    <m/>
  </r>
  <r>
    <s v="WALK IN"/>
    <x v="1"/>
    <d v="2023-08-20T00:00:00"/>
    <x v="3"/>
    <n v="6"/>
    <n v="120000"/>
    <m/>
    <m/>
    <n v="6"/>
    <n v="720000"/>
    <m/>
    <m/>
  </r>
  <r>
    <s v="KERJASAMA MITRA"/>
    <x v="2"/>
    <d v="2023-08-20T00:00:00"/>
    <x v="3"/>
    <n v="4"/>
    <n v="150000"/>
    <m/>
    <m/>
    <n v="4"/>
    <n v="600000"/>
    <m/>
    <m/>
  </r>
  <r>
    <s v="KERJASAMA MITRA"/>
    <x v="4"/>
    <d v="2023-08-20T00:00:00"/>
    <x v="3"/>
    <n v="9"/>
    <n v="130000"/>
    <m/>
    <m/>
    <n v="9"/>
    <n v="1170000"/>
    <m/>
    <m/>
  </r>
  <r>
    <s v="KERJASAMA MITRA"/>
    <x v="5"/>
    <d v="2023-08-20T00:00:00"/>
    <x v="3"/>
    <n v="2"/>
    <n v="130000"/>
    <m/>
    <m/>
    <n v="2"/>
    <n v="260000"/>
    <m/>
    <m/>
  </r>
  <r>
    <s v="KERJASAMA MITRA"/>
    <x v="6"/>
    <d v="2023-08-20T00:00:00"/>
    <x v="3"/>
    <n v="85"/>
    <n v="130000"/>
    <m/>
    <m/>
    <n v="85"/>
    <n v="11050000"/>
    <m/>
    <m/>
  </r>
  <r>
    <s v="WALK IN"/>
    <x v="0"/>
    <d v="2023-08-21T00:00:00"/>
    <x v="3"/>
    <n v="62"/>
    <n v="120000"/>
    <m/>
    <m/>
    <n v="62"/>
    <n v="7440000"/>
    <m/>
    <m/>
  </r>
  <r>
    <s v="WALK IN"/>
    <x v="8"/>
    <d v="2023-08-21T00:00:00"/>
    <x v="3"/>
    <n v="1"/>
    <n v="1000000"/>
    <m/>
    <m/>
    <n v="1"/>
    <n v="1000000"/>
    <m/>
    <m/>
  </r>
  <r>
    <s v="KERJASAMA MITRA"/>
    <x v="2"/>
    <d v="2023-08-21T00:00:00"/>
    <x v="3"/>
    <n v="4"/>
    <n v="150000"/>
    <m/>
    <m/>
    <n v="4"/>
    <n v="600000"/>
    <m/>
    <m/>
  </r>
  <r>
    <s v="KERJASAMA MITRA"/>
    <x v="4"/>
    <d v="2023-08-21T00:00:00"/>
    <x v="3"/>
    <n v="10"/>
    <n v="130000"/>
    <m/>
    <m/>
    <n v="10"/>
    <n v="1300000"/>
    <m/>
    <m/>
  </r>
  <r>
    <s v="KERJASAMA MITRA"/>
    <x v="5"/>
    <d v="2023-08-21T00:00:00"/>
    <x v="3"/>
    <n v="9"/>
    <n v="130000"/>
    <m/>
    <m/>
    <n v="9"/>
    <n v="1170000"/>
    <m/>
    <m/>
  </r>
  <r>
    <s v="KERJASAMA MITRA"/>
    <x v="6"/>
    <d v="2023-08-21T00:00:00"/>
    <x v="3"/>
    <n v="33"/>
    <n v="130000"/>
    <m/>
    <m/>
    <n v="33"/>
    <n v="4290000"/>
    <m/>
    <m/>
  </r>
  <r>
    <s v="WALK IN"/>
    <x v="0"/>
    <d v="2023-08-22T00:00:00"/>
    <x v="3"/>
    <n v="41"/>
    <n v="120000"/>
    <m/>
    <m/>
    <n v="41"/>
    <n v="4920000"/>
    <m/>
    <m/>
  </r>
  <r>
    <s v="WALK IN"/>
    <x v="8"/>
    <d v="2023-08-22T00:00:00"/>
    <x v="3"/>
    <n v="1"/>
    <n v="1000000"/>
    <m/>
    <m/>
    <n v="1"/>
    <n v="1000000"/>
    <m/>
    <m/>
  </r>
  <r>
    <s v="WALK IN"/>
    <x v="1"/>
    <d v="2023-08-22T00:00:00"/>
    <x v="3"/>
    <n v="8"/>
    <n v="120000"/>
    <m/>
    <m/>
    <n v="8"/>
    <n v="960000"/>
    <m/>
    <m/>
  </r>
  <r>
    <s v="KERJASAMA MITRA"/>
    <x v="2"/>
    <d v="2023-08-22T00:00:00"/>
    <x v="3"/>
    <n v="5"/>
    <n v="150000"/>
    <m/>
    <m/>
    <n v="5"/>
    <n v="750000"/>
    <m/>
    <m/>
  </r>
  <r>
    <s v="KERJASAMA MITRA"/>
    <x v="3"/>
    <d v="2023-08-22T00:00:00"/>
    <x v="3"/>
    <n v="2"/>
    <n v="130000"/>
    <m/>
    <m/>
    <n v="2"/>
    <n v="260000"/>
    <m/>
    <m/>
  </r>
  <r>
    <s v="KERJASAMA MITRA"/>
    <x v="4"/>
    <d v="2023-08-22T00:00:00"/>
    <x v="3"/>
    <n v="21"/>
    <n v="130000"/>
    <m/>
    <m/>
    <n v="21"/>
    <n v="2730000"/>
    <m/>
    <m/>
  </r>
  <r>
    <s v="KERJASAMA MITRA"/>
    <x v="5"/>
    <d v="2023-08-22T00:00:00"/>
    <x v="3"/>
    <n v="7"/>
    <n v="130000"/>
    <m/>
    <m/>
    <n v="7"/>
    <n v="910000"/>
    <m/>
    <m/>
  </r>
  <r>
    <s v="KERJASAMA MITRA"/>
    <x v="6"/>
    <d v="2023-08-22T00:00:00"/>
    <x v="3"/>
    <n v="41"/>
    <n v="130000"/>
    <m/>
    <m/>
    <n v="41"/>
    <n v="5330000"/>
    <m/>
    <m/>
  </r>
  <r>
    <s v="WALK IN"/>
    <x v="0"/>
    <d v="2023-08-23T00:00:00"/>
    <x v="3"/>
    <n v="105"/>
    <n v="120000"/>
    <m/>
    <m/>
    <n v="105"/>
    <n v="12600000"/>
    <m/>
    <m/>
  </r>
  <r>
    <s v="WALK IN"/>
    <x v="1"/>
    <d v="2023-08-23T00:00:00"/>
    <x v="3"/>
    <n v="3"/>
    <n v="120000"/>
    <m/>
    <m/>
    <n v="3"/>
    <n v="360000"/>
    <m/>
    <m/>
  </r>
  <r>
    <s v="WALK IN"/>
    <x v="8"/>
    <d v="2023-08-23T00:00:00"/>
    <x v="3"/>
    <n v="1"/>
    <n v="500000"/>
    <m/>
    <m/>
    <n v="1"/>
    <n v="500000"/>
    <m/>
    <m/>
  </r>
  <r>
    <s v="KERJASAMA MITRA"/>
    <x v="2"/>
    <d v="2023-08-23T00:00:00"/>
    <x v="3"/>
    <n v="7"/>
    <n v="150000"/>
    <m/>
    <m/>
    <n v="7"/>
    <n v="1050000"/>
    <m/>
    <m/>
  </r>
  <r>
    <s v="KERJASAMA MITRA"/>
    <x v="4"/>
    <d v="2023-08-23T00:00:00"/>
    <x v="3"/>
    <n v="10"/>
    <n v="130000"/>
    <m/>
    <m/>
    <n v="10"/>
    <n v="1300000"/>
    <m/>
    <m/>
  </r>
  <r>
    <s v="KERJASAMA MITRA"/>
    <x v="5"/>
    <d v="2023-08-23T00:00:00"/>
    <x v="3"/>
    <n v="8"/>
    <n v="130000"/>
    <m/>
    <m/>
    <n v="8"/>
    <n v="1040000"/>
    <m/>
    <m/>
  </r>
  <r>
    <s v="KERJASAMA MITRA"/>
    <x v="6"/>
    <d v="2023-08-23T00:00:00"/>
    <x v="3"/>
    <n v="58"/>
    <n v="130000"/>
    <m/>
    <m/>
    <n v="58"/>
    <n v="7540000"/>
    <m/>
    <m/>
  </r>
  <r>
    <s v="WALK IN"/>
    <x v="0"/>
    <d v="2023-08-24T00:00:00"/>
    <x v="3"/>
    <n v="79"/>
    <n v="120000"/>
    <m/>
    <m/>
    <n v="79"/>
    <n v="9480000"/>
    <m/>
    <m/>
  </r>
  <r>
    <s v="WALK IN"/>
    <x v="1"/>
    <d v="2023-08-24T00:00:00"/>
    <x v="3"/>
    <n v="2"/>
    <n v="120000"/>
    <m/>
    <m/>
    <n v="2"/>
    <n v="240000"/>
    <m/>
    <m/>
  </r>
  <r>
    <s v="WALK IN"/>
    <x v="8"/>
    <d v="2023-08-24T00:00:00"/>
    <x v="3"/>
    <n v="1"/>
    <n v="500000"/>
    <m/>
    <m/>
    <n v="1"/>
    <n v="500000"/>
    <m/>
    <m/>
  </r>
  <r>
    <s v="UMROH"/>
    <x v="0"/>
    <d v="2023-08-24T00:00:00"/>
    <x v="3"/>
    <n v="21"/>
    <n v="110000"/>
    <m/>
    <m/>
    <n v="21"/>
    <n v="2310000"/>
    <m/>
    <m/>
  </r>
  <r>
    <s v="KERJASAMA MITRA"/>
    <x v="2"/>
    <d v="2023-08-24T00:00:00"/>
    <x v="3"/>
    <n v="4"/>
    <n v="150000"/>
    <m/>
    <m/>
    <n v="4"/>
    <n v="600000"/>
    <m/>
    <m/>
  </r>
  <r>
    <s v="KERJASAMA MITRA"/>
    <x v="3"/>
    <d v="2023-08-24T00:00:00"/>
    <x v="3"/>
    <n v="1"/>
    <n v="130000"/>
    <m/>
    <m/>
    <n v="1"/>
    <n v="130000"/>
    <m/>
    <m/>
  </r>
  <r>
    <s v="KERJASAMA MITRA"/>
    <x v="4"/>
    <d v="2023-08-24T00:00:00"/>
    <x v="3"/>
    <n v="11"/>
    <n v="130000"/>
    <m/>
    <m/>
    <n v="11"/>
    <n v="1430000"/>
    <m/>
    <m/>
  </r>
  <r>
    <s v="KERJASAMA MITRA"/>
    <x v="5"/>
    <d v="2023-08-24T00:00:00"/>
    <x v="3"/>
    <n v="3"/>
    <n v="130000"/>
    <m/>
    <m/>
    <n v="3"/>
    <n v="390000"/>
    <m/>
    <m/>
  </r>
  <r>
    <s v="KERJASAMA MITRA"/>
    <x v="6"/>
    <d v="2023-08-24T00:00:00"/>
    <x v="3"/>
    <n v="84"/>
    <n v="130000"/>
    <m/>
    <m/>
    <n v="84"/>
    <n v="10920000"/>
    <m/>
    <m/>
  </r>
  <r>
    <s v="WALK IN"/>
    <x v="0"/>
    <d v="2023-08-25T00:00:00"/>
    <x v="3"/>
    <n v="107"/>
    <n v="120000"/>
    <m/>
    <m/>
    <n v="107"/>
    <n v="12840000"/>
    <m/>
    <m/>
  </r>
  <r>
    <s v="WALK IN"/>
    <x v="1"/>
    <d v="2023-08-25T00:00:00"/>
    <x v="3"/>
    <n v="4"/>
    <n v="120000"/>
    <m/>
    <m/>
    <n v="4"/>
    <n v="480000"/>
    <m/>
    <m/>
  </r>
  <r>
    <s v="WALK IN"/>
    <x v="8"/>
    <d v="2023-08-25T00:00:00"/>
    <x v="3"/>
    <n v="1"/>
    <n v="500000"/>
    <m/>
    <m/>
    <n v="1"/>
    <n v="500000"/>
    <m/>
    <m/>
  </r>
  <r>
    <s v="KERJASAMA MITRA"/>
    <x v="2"/>
    <d v="2023-08-25T00:00:00"/>
    <x v="3"/>
    <n v="6"/>
    <n v="150000"/>
    <m/>
    <m/>
    <n v="6"/>
    <n v="900000"/>
    <m/>
    <m/>
  </r>
  <r>
    <s v="KERJASAMA MITRA"/>
    <x v="4"/>
    <d v="2023-08-25T00:00:00"/>
    <x v="3"/>
    <n v="10"/>
    <n v="130000"/>
    <m/>
    <m/>
    <n v="10"/>
    <n v="1300000"/>
    <m/>
    <m/>
  </r>
  <r>
    <s v="KERJASAMA MITRA"/>
    <x v="5"/>
    <d v="2023-08-25T00:00:00"/>
    <x v="3"/>
    <n v="2"/>
    <n v="130000"/>
    <m/>
    <m/>
    <n v="2"/>
    <n v="260000"/>
    <m/>
    <m/>
  </r>
  <r>
    <s v="KERJASAMA MITRA"/>
    <x v="6"/>
    <d v="2023-08-25T00:00:00"/>
    <x v="3"/>
    <n v="71"/>
    <n v="130000"/>
    <m/>
    <m/>
    <n v="71"/>
    <n v="9230000"/>
    <m/>
    <m/>
  </r>
  <r>
    <s v="WALK IN"/>
    <x v="0"/>
    <d v="2023-08-26T00:00:00"/>
    <x v="3"/>
    <n v="65"/>
    <n v="120000"/>
    <m/>
    <m/>
    <n v="65"/>
    <n v="7800000"/>
    <m/>
    <m/>
  </r>
  <r>
    <s v="WALK IN"/>
    <x v="1"/>
    <d v="2023-08-26T00:00:00"/>
    <x v="3"/>
    <n v="22"/>
    <n v="120000"/>
    <m/>
    <m/>
    <n v="22"/>
    <n v="2640000"/>
    <m/>
    <m/>
  </r>
  <r>
    <s v="KERJASAMA MITRA"/>
    <x v="2"/>
    <d v="2023-08-26T00:00:00"/>
    <x v="3"/>
    <n v="8"/>
    <n v="150000"/>
    <m/>
    <m/>
    <n v="8"/>
    <n v="1200000"/>
    <m/>
    <m/>
  </r>
  <r>
    <s v="KERJASAMA MITRA"/>
    <x v="4"/>
    <d v="2023-08-26T00:00:00"/>
    <x v="3"/>
    <n v="5"/>
    <n v="130000"/>
    <m/>
    <m/>
    <n v="5"/>
    <n v="650000"/>
    <m/>
    <m/>
  </r>
  <r>
    <s v="KERJASAMA MITRA"/>
    <x v="6"/>
    <d v="2023-08-26T00:00:00"/>
    <x v="3"/>
    <n v="41"/>
    <n v="130000"/>
    <m/>
    <m/>
    <n v="41"/>
    <n v="5330000"/>
    <m/>
    <m/>
  </r>
  <r>
    <s v="WALK IN"/>
    <x v="0"/>
    <d v="2023-08-27T00:00:00"/>
    <x v="3"/>
    <n v="107"/>
    <n v="120000"/>
    <m/>
    <m/>
    <n v="107"/>
    <n v="12840000"/>
    <m/>
    <m/>
  </r>
  <r>
    <s v="WALK IN"/>
    <x v="1"/>
    <d v="2023-08-27T00:00:00"/>
    <x v="3"/>
    <n v="4"/>
    <n v="120000"/>
    <m/>
    <m/>
    <n v="4"/>
    <n v="480000"/>
    <m/>
    <m/>
  </r>
  <r>
    <s v="KERJASAMA MITRA"/>
    <x v="2"/>
    <d v="2023-08-27T00:00:00"/>
    <x v="3"/>
    <n v="9"/>
    <n v="150000"/>
    <m/>
    <m/>
    <n v="9"/>
    <n v="1350000"/>
    <m/>
    <m/>
  </r>
  <r>
    <s v="KERJASAMA MITRA"/>
    <x v="4"/>
    <d v="2023-08-27T00:00:00"/>
    <x v="3"/>
    <n v="9"/>
    <n v="130000"/>
    <m/>
    <m/>
    <n v="9"/>
    <n v="1170000"/>
    <m/>
    <m/>
  </r>
  <r>
    <s v="KERJASAMA MITRA"/>
    <x v="5"/>
    <d v="2023-08-27T00:00:00"/>
    <x v="3"/>
    <n v="5"/>
    <n v="130000"/>
    <m/>
    <m/>
    <n v="5"/>
    <n v="650000"/>
    <m/>
    <m/>
  </r>
  <r>
    <s v="KERJASAMA MITRA"/>
    <x v="6"/>
    <d v="2023-08-27T00:00:00"/>
    <x v="3"/>
    <n v="89"/>
    <n v="130000"/>
    <m/>
    <m/>
    <n v="89"/>
    <n v="11570000"/>
    <m/>
    <m/>
  </r>
  <r>
    <s v="WALK IN"/>
    <x v="0"/>
    <d v="2023-08-28T00:00:00"/>
    <x v="3"/>
    <n v="37"/>
    <n v="120000"/>
    <m/>
    <m/>
    <n v="37"/>
    <n v="4440000"/>
    <m/>
    <m/>
  </r>
  <r>
    <s v="WALK IN"/>
    <x v="1"/>
    <d v="2023-08-28T00:00:00"/>
    <x v="3"/>
    <n v="6"/>
    <n v="120000"/>
    <m/>
    <m/>
    <n v="6"/>
    <n v="720000"/>
    <m/>
    <m/>
  </r>
  <r>
    <s v="WALK IN"/>
    <x v="8"/>
    <d v="2023-08-28T00:00:00"/>
    <x v="3"/>
    <n v="1"/>
    <n v="500000"/>
    <m/>
    <m/>
    <n v="1"/>
    <n v="500000"/>
    <m/>
    <m/>
  </r>
  <r>
    <s v="KERJASAMA MITRA"/>
    <x v="2"/>
    <d v="2023-08-28T00:00:00"/>
    <x v="3"/>
    <n v="6"/>
    <n v="150000"/>
    <m/>
    <m/>
    <n v="6"/>
    <n v="900000"/>
    <m/>
    <m/>
  </r>
  <r>
    <s v="KERJASAMA MITRA"/>
    <x v="4"/>
    <d v="2023-08-28T00:00:00"/>
    <x v="3"/>
    <n v="9"/>
    <n v="130000"/>
    <m/>
    <m/>
    <n v="9"/>
    <n v="1170000"/>
    <m/>
    <m/>
  </r>
  <r>
    <s v="KERJASAMA MITRA"/>
    <x v="5"/>
    <d v="2023-08-28T00:00:00"/>
    <x v="3"/>
    <n v="2"/>
    <n v="130000"/>
    <m/>
    <m/>
    <n v="2"/>
    <n v="260000"/>
    <m/>
    <m/>
  </r>
  <r>
    <s v="KERJASAMA MITRA"/>
    <x v="6"/>
    <d v="2023-08-28T00:00:00"/>
    <x v="3"/>
    <n v="67"/>
    <n v="130000"/>
    <m/>
    <m/>
    <n v="67"/>
    <n v="8710000"/>
    <m/>
    <m/>
  </r>
  <r>
    <s v="WALK IN"/>
    <x v="0"/>
    <d v="2023-08-29T00:00:00"/>
    <x v="3"/>
    <n v="28"/>
    <n v="120000"/>
    <m/>
    <m/>
    <n v="28"/>
    <n v="3360000"/>
    <m/>
    <m/>
  </r>
  <r>
    <s v="WALK IN"/>
    <x v="1"/>
    <d v="2023-08-29T00:00:00"/>
    <x v="3"/>
    <n v="6"/>
    <n v="120000"/>
    <m/>
    <m/>
    <n v="6"/>
    <n v="720000"/>
    <m/>
    <m/>
  </r>
  <r>
    <s v="KERJASAMA MITRA"/>
    <x v="2"/>
    <d v="2023-08-29T00:00:00"/>
    <x v="3"/>
    <n v="5"/>
    <n v="150000"/>
    <m/>
    <m/>
    <n v="5"/>
    <n v="750000"/>
    <m/>
    <m/>
  </r>
  <r>
    <s v="KERJASAMA MITRA"/>
    <x v="3"/>
    <d v="2023-08-29T00:00:00"/>
    <x v="3"/>
    <n v="2"/>
    <n v="130000"/>
    <m/>
    <m/>
    <n v="2"/>
    <n v="260000"/>
    <m/>
    <m/>
  </r>
  <r>
    <s v="KERJASAMA MITRA"/>
    <x v="4"/>
    <d v="2023-08-29T00:00:00"/>
    <x v="3"/>
    <n v="7"/>
    <n v="130000"/>
    <m/>
    <m/>
    <n v="7"/>
    <n v="910000"/>
    <m/>
    <m/>
  </r>
  <r>
    <s v="KERJASAMA MITRA"/>
    <x v="5"/>
    <d v="2023-08-29T00:00:00"/>
    <x v="3"/>
    <n v="3"/>
    <n v="130000"/>
    <m/>
    <m/>
    <n v="3"/>
    <n v="390000"/>
    <m/>
    <m/>
  </r>
  <r>
    <s v="KERJASAMA MITRA"/>
    <x v="6"/>
    <d v="2023-08-29T00:00:00"/>
    <x v="3"/>
    <n v="43"/>
    <n v="130000"/>
    <m/>
    <m/>
    <n v="43"/>
    <n v="5590000"/>
    <m/>
    <m/>
  </r>
  <r>
    <s v="WALK IN"/>
    <x v="0"/>
    <d v="2023-08-30T00:00:00"/>
    <x v="3"/>
    <n v="41"/>
    <n v="120000"/>
    <m/>
    <m/>
    <n v="41"/>
    <n v="4920000"/>
    <m/>
    <m/>
  </r>
  <r>
    <s v="WALK IN"/>
    <x v="1"/>
    <d v="2023-08-30T00:00:00"/>
    <x v="3"/>
    <n v="3"/>
    <n v="120000"/>
    <m/>
    <m/>
    <n v="3"/>
    <n v="370000"/>
    <m/>
    <m/>
  </r>
  <r>
    <s v="KERJASAMA MITRA"/>
    <x v="2"/>
    <d v="2023-08-30T00:00:00"/>
    <x v="3"/>
    <n v="2"/>
    <n v="150000"/>
    <m/>
    <m/>
    <n v="2"/>
    <n v="300000"/>
    <m/>
    <m/>
  </r>
  <r>
    <s v="KERJASAMA MITRA"/>
    <x v="4"/>
    <d v="2023-08-30T00:00:00"/>
    <x v="3"/>
    <n v="10"/>
    <n v="130000"/>
    <m/>
    <m/>
    <n v="10"/>
    <n v="1300000"/>
    <m/>
    <m/>
  </r>
  <r>
    <s v="KERJASAMA MITRA"/>
    <x v="5"/>
    <d v="2023-08-30T00:00:00"/>
    <x v="3"/>
    <n v="6"/>
    <n v="130000"/>
    <m/>
    <m/>
    <n v="6"/>
    <n v="780000"/>
    <m/>
    <m/>
  </r>
  <r>
    <s v="KERJASAMA MITRA"/>
    <x v="6"/>
    <d v="2023-08-30T00:00:00"/>
    <x v="3"/>
    <n v="56"/>
    <n v="130000"/>
    <m/>
    <m/>
    <n v="56"/>
    <n v="7280000"/>
    <m/>
    <m/>
  </r>
  <r>
    <s v="WALK IN"/>
    <x v="0"/>
    <d v="2023-08-31T00:00:00"/>
    <x v="3"/>
    <n v="68"/>
    <n v="120000"/>
    <m/>
    <m/>
    <n v="68"/>
    <n v="8160000"/>
    <m/>
    <m/>
  </r>
  <r>
    <s v="WALK IN"/>
    <x v="1"/>
    <d v="2023-08-31T00:00:00"/>
    <x v="3"/>
    <n v="9"/>
    <n v="120000"/>
    <m/>
    <m/>
    <n v="9"/>
    <n v="1080000"/>
    <m/>
    <m/>
  </r>
  <r>
    <s v="WALK IN"/>
    <x v="8"/>
    <d v="2023-08-31T00:00:00"/>
    <x v="3"/>
    <n v="1"/>
    <n v="500000"/>
    <m/>
    <m/>
    <n v="1"/>
    <n v="500000"/>
    <m/>
    <m/>
  </r>
  <r>
    <s v="KERJASAMA MITRA"/>
    <x v="2"/>
    <d v="2023-08-31T00:00:00"/>
    <x v="3"/>
    <n v="4"/>
    <n v="150000"/>
    <m/>
    <m/>
    <n v="4"/>
    <n v="600000"/>
    <m/>
    <m/>
  </r>
  <r>
    <s v="KERJASAMA MITRA"/>
    <x v="4"/>
    <d v="2023-08-31T00:00:00"/>
    <x v="3"/>
    <n v="5"/>
    <n v="130000"/>
    <m/>
    <m/>
    <n v="5"/>
    <n v="650000"/>
    <m/>
    <m/>
  </r>
  <r>
    <s v="KERJASAMA MITRA"/>
    <x v="5"/>
    <d v="2023-08-31T00:00:00"/>
    <x v="3"/>
    <n v="2"/>
    <n v="130000"/>
    <m/>
    <m/>
    <n v="2"/>
    <n v="260000"/>
    <m/>
    <m/>
  </r>
  <r>
    <s v="KERJASAMA MITRA"/>
    <x v="6"/>
    <d v="2023-08-31T00:00:00"/>
    <x v="3"/>
    <n v="77"/>
    <n v="130000"/>
    <m/>
    <m/>
    <n v="77"/>
    <n v="10010000"/>
    <m/>
    <m/>
  </r>
  <r>
    <s v="WALK IN"/>
    <x v="0"/>
    <d v="2023-09-01T00:00:00"/>
    <x v="4"/>
    <n v="82"/>
    <n v="120000"/>
    <m/>
    <m/>
    <n v="82"/>
    <n v="9840000"/>
    <m/>
    <m/>
  </r>
  <r>
    <s v="WALK IN"/>
    <x v="1"/>
    <d v="2023-09-01T00:00:00"/>
    <x v="4"/>
    <n v="5"/>
    <n v="120000"/>
    <m/>
    <m/>
    <n v="5"/>
    <n v="600000"/>
    <m/>
    <m/>
  </r>
  <r>
    <s v="WALK IN"/>
    <x v="8"/>
    <d v="2023-09-01T00:00:00"/>
    <x v="4"/>
    <n v="1"/>
    <n v="500000"/>
    <m/>
    <m/>
    <n v="1"/>
    <n v="500000"/>
    <m/>
    <m/>
  </r>
  <r>
    <s v="KERJASAMA MITRA"/>
    <x v="2"/>
    <d v="2023-09-01T00:00:00"/>
    <x v="4"/>
    <n v="4"/>
    <n v="150000"/>
    <m/>
    <m/>
    <n v="4"/>
    <n v="600000"/>
    <m/>
    <m/>
  </r>
  <r>
    <s v="KERJASAMA MITRA"/>
    <x v="3"/>
    <d v="2023-09-01T00:00:00"/>
    <x v="4"/>
    <n v="2"/>
    <n v="130000"/>
    <m/>
    <m/>
    <n v="2"/>
    <n v="260000"/>
    <m/>
    <m/>
  </r>
  <r>
    <s v="KERJASAMA MITRA"/>
    <x v="4"/>
    <d v="2023-09-01T00:00:00"/>
    <x v="4"/>
    <n v="7"/>
    <n v="130000"/>
    <m/>
    <m/>
    <n v="7"/>
    <n v="910000"/>
    <m/>
    <m/>
  </r>
  <r>
    <s v="KERJASAMA MITRA"/>
    <x v="5"/>
    <d v="2023-09-01T00:00:00"/>
    <x v="4"/>
    <n v="5"/>
    <n v="130000"/>
    <m/>
    <m/>
    <n v="5"/>
    <n v="650000"/>
    <m/>
    <m/>
  </r>
  <r>
    <s v="KERJASAMA MITRA"/>
    <x v="6"/>
    <d v="2023-09-01T00:00:00"/>
    <x v="4"/>
    <n v="84"/>
    <n v="130000"/>
    <m/>
    <m/>
    <n v="84"/>
    <n v="10920000"/>
    <m/>
    <m/>
  </r>
  <r>
    <s v="WALK IN"/>
    <x v="0"/>
    <d v="2023-09-02T00:00:00"/>
    <x v="4"/>
    <n v="87"/>
    <n v="120000"/>
    <m/>
    <m/>
    <n v="87"/>
    <n v="10440000"/>
    <m/>
    <m/>
  </r>
  <r>
    <s v="WALK IN"/>
    <x v="1"/>
    <d v="2023-09-02T00:00:00"/>
    <x v="4"/>
    <n v="10"/>
    <n v="120000"/>
    <m/>
    <m/>
    <n v="10"/>
    <n v="1200000"/>
    <m/>
    <m/>
  </r>
  <r>
    <s v="KERJASAMA MITRA"/>
    <x v="2"/>
    <d v="2023-09-02T00:00:00"/>
    <x v="4"/>
    <n v="1"/>
    <n v="150000"/>
    <m/>
    <m/>
    <n v="1"/>
    <n v="150000"/>
    <m/>
    <m/>
  </r>
  <r>
    <s v="KERJASAMA MITRA"/>
    <x v="4"/>
    <d v="2023-09-02T00:00:00"/>
    <x v="4"/>
    <n v="10"/>
    <n v="130000"/>
    <m/>
    <m/>
    <n v="10"/>
    <n v="1300000"/>
    <m/>
    <m/>
  </r>
  <r>
    <s v="KERJASAMA MITRA"/>
    <x v="5"/>
    <d v="2023-09-02T00:00:00"/>
    <x v="4"/>
    <n v="3"/>
    <n v="130000"/>
    <m/>
    <m/>
    <n v="3"/>
    <n v="390000"/>
    <m/>
    <m/>
  </r>
  <r>
    <s v="KERJASAMA MITRA"/>
    <x v="6"/>
    <d v="2023-09-02T00:00:00"/>
    <x v="4"/>
    <n v="48"/>
    <n v="130000"/>
    <m/>
    <m/>
    <n v="48"/>
    <n v="6240000"/>
    <m/>
    <m/>
  </r>
  <r>
    <s v="WALK IN"/>
    <x v="0"/>
    <d v="2023-09-03T00:00:00"/>
    <x v="4"/>
    <n v="110"/>
    <n v="120000"/>
    <m/>
    <m/>
    <n v="110"/>
    <n v="13200000"/>
    <m/>
    <m/>
  </r>
  <r>
    <s v="WALK IN"/>
    <x v="1"/>
    <d v="2023-09-03T00:00:00"/>
    <x v="4"/>
    <n v="5"/>
    <n v="120000"/>
    <m/>
    <m/>
    <n v="5"/>
    <n v="600000"/>
    <m/>
    <m/>
  </r>
  <r>
    <s v="KERJASAMA MITRA"/>
    <x v="2"/>
    <d v="2023-09-03T00:00:00"/>
    <x v="4"/>
    <n v="4"/>
    <n v="150000"/>
    <m/>
    <m/>
    <n v="4"/>
    <n v="600000"/>
    <m/>
    <m/>
  </r>
  <r>
    <s v="KERJASAMA MITRA"/>
    <x v="4"/>
    <d v="2023-09-03T00:00:00"/>
    <x v="4"/>
    <n v="11"/>
    <n v="130000"/>
    <m/>
    <m/>
    <n v="11"/>
    <n v="1430000"/>
    <m/>
    <m/>
  </r>
  <r>
    <s v="KERJASAMA MITRA"/>
    <x v="5"/>
    <d v="2023-09-03T00:00:00"/>
    <x v="4"/>
    <n v="8"/>
    <n v="130000"/>
    <m/>
    <m/>
    <n v="8"/>
    <n v="1040000"/>
    <m/>
    <m/>
  </r>
  <r>
    <s v="KERJASAMA MITRA"/>
    <x v="6"/>
    <d v="2023-09-03T00:00:00"/>
    <x v="4"/>
    <n v="104"/>
    <n v="130000"/>
    <m/>
    <m/>
    <n v="104"/>
    <n v="13520000"/>
    <m/>
    <m/>
  </r>
  <r>
    <s v="WALK IN"/>
    <x v="0"/>
    <d v="2023-09-04T00:00:00"/>
    <x v="4"/>
    <n v="83"/>
    <n v="120000"/>
    <m/>
    <m/>
    <n v="83"/>
    <n v="9960000"/>
    <m/>
    <m/>
  </r>
  <r>
    <s v="WALK IN"/>
    <x v="8"/>
    <d v="2023-09-04T00:00:00"/>
    <x v="4"/>
    <n v="1"/>
    <n v="500000"/>
    <m/>
    <m/>
    <n v="1"/>
    <n v="500000"/>
    <m/>
    <m/>
  </r>
  <r>
    <s v="HARPELNAS"/>
    <x v="0"/>
    <d v="2023-09-04T00:00:00"/>
    <x v="4"/>
    <n v="11"/>
    <m/>
    <m/>
    <m/>
    <n v="11"/>
    <n v="0"/>
    <m/>
    <m/>
  </r>
  <r>
    <s v="WALK IN"/>
    <x v="1"/>
    <d v="2023-09-04T00:00:00"/>
    <x v="4"/>
    <n v="6"/>
    <n v="120000"/>
    <m/>
    <m/>
    <n v="6"/>
    <n v="720000"/>
    <m/>
    <m/>
  </r>
  <r>
    <s v="KERJASAMA MITRA"/>
    <x v="2"/>
    <d v="2023-09-04T00:00:00"/>
    <x v="4"/>
    <n v="4"/>
    <n v="150000"/>
    <m/>
    <m/>
    <n v="4"/>
    <n v="600000"/>
    <m/>
    <m/>
  </r>
  <r>
    <s v="KERJASAMA MITRA"/>
    <x v="4"/>
    <d v="2023-09-04T00:00:00"/>
    <x v="4"/>
    <n v="18"/>
    <n v="130000"/>
    <m/>
    <m/>
    <n v="18"/>
    <n v="2340000"/>
    <m/>
    <m/>
  </r>
  <r>
    <s v="KERJASAMA MITRA"/>
    <x v="5"/>
    <d v="2023-09-04T00:00:00"/>
    <x v="4"/>
    <n v="8"/>
    <n v="130000"/>
    <m/>
    <m/>
    <n v="8"/>
    <n v="1040000"/>
    <m/>
    <m/>
  </r>
  <r>
    <s v="KERJASAMA MITRA"/>
    <x v="6"/>
    <d v="2023-09-04T00:00:00"/>
    <x v="4"/>
    <n v="72"/>
    <n v="130000"/>
    <m/>
    <m/>
    <n v="72"/>
    <n v="9360000"/>
    <m/>
    <m/>
  </r>
  <r>
    <s v="WALK IN"/>
    <x v="0"/>
    <d v="2023-09-05T00:00:00"/>
    <x v="4"/>
    <n v="90"/>
    <n v="120000"/>
    <m/>
    <m/>
    <n v="90"/>
    <n v="10800000"/>
    <m/>
    <m/>
  </r>
  <r>
    <s v="WALK IN"/>
    <x v="1"/>
    <d v="2023-09-05T00:00:00"/>
    <x v="4"/>
    <n v="7"/>
    <n v="120000"/>
    <m/>
    <m/>
    <n v="7"/>
    <n v="840000"/>
    <m/>
    <m/>
  </r>
  <r>
    <s v="KERJASAMA MITRA"/>
    <x v="2"/>
    <d v="2023-09-05T00:00:00"/>
    <x v="4"/>
    <n v="4"/>
    <n v="150000"/>
    <m/>
    <m/>
    <n v="4"/>
    <n v="600000"/>
    <m/>
    <m/>
  </r>
  <r>
    <s v="KERJASAMA MITRA"/>
    <x v="3"/>
    <d v="2023-09-05T00:00:00"/>
    <x v="4"/>
    <n v="1"/>
    <n v="130000"/>
    <m/>
    <m/>
    <n v="1"/>
    <n v="130000"/>
    <m/>
    <m/>
  </r>
  <r>
    <s v="KERJASAMA MITRA"/>
    <x v="4"/>
    <d v="2023-09-05T00:00:00"/>
    <x v="4"/>
    <n v="5"/>
    <n v="130000"/>
    <m/>
    <m/>
    <n v="5"/>
    <n v="650000"/>
    <m/>
    <m/>
  </r>
  <r>
    <s v="KERJASAMA MITRA"/>
    <x v="5"/>
    <d v="2023-09-05T00:00:00"/>
    <x v="4"/>
    <n v="4"/>
    <n v="130000"/>
    <m/>
    <m/>
    <n v="4"/>
    <n v="520000"/>
    <m/>
    <m/>
  </r>
  <r>
    <s v="KERJASAMA MITRA"/>
    <x v="6"/>
    <d v="2023-09-05T00:00:00"/>
    <x v="4"/>
    <n v="42"/>
    <n v="130000"/>
    <m/>
    <m/>
    <n v="42"/>
    <n v="5460000"/>
    <m/>
    <m/>
  </r>
  <r>
    <s v="KERJASAMA MITRA"/>
    <x v="7"/>
    <d v="2023-09-05T00:00:00"/>
    <x v="4"/>
    <n v="13"/>
    <n v="110000"/>
    <m/>
    <m/>
    <n v="13"/>
    <n v="1430000"/>
    <m/>
    <m/>
  </r>
  <r>
    <s v="WALK IN"/>
    <x v="0"/>
    <d v="2023-09-06T00:00:00"/>
    <x v="4"/>
    <n v="74"/>
    <n v="120000"/>
    <m/>
    <m/>
    <n v="74"/>
    <n v="8880000"/>
    <m/>
    <m/>
  </r>
  <r>
    <s v="WALK IN"/>
    <x v="1"/>
    <d v="2023-09-06T00:00:00"/>
    <x v="4"/>
    <n v="6"/>
    <n v="120000"/>
    <m/>
    <m/>
    <n v="6"/>
    <n v="720000"/>
    <m/>
    <m/>
  </r>
  <r>
    <s v="WALK IN"/>
    <x v="8"/>
    <d v="2023-09-06T00:00:00"/>
    <x v="4"/>
    <n v="1"/>
    <n v="1000000"/>
    <m/>
    <m/>
    <n v="1"/>
    <n v="1000000"/>
    <m/>
    <m/>
  </r>
  <r>
    <s v="KERJASAMA MITRA"/>
    <x v="3"/>
    <d v="2023-09-06T00:00:00"/>
    <x v="4"/>
    <n v="5"/>
    <n v="130000"/>
    <m/>
    <m/>
    <n v="5"/>
    <n v="650000"/>
    <m/>
    <m/>
  </r>
  <r>
    <s v="KERJASAMA MITRA"/>
    <x v="4"/>
    <d v="2023-09-06T00:00:00"/>
    <x v="4"/>
    <n v="16"/>
    <n v="130000"/>
    <m/>
    <m/>
    <n v="16"/>
    <n v="2080000"/>
    <m/>
    <m/>
  </r>
  <r>
    <s v="KERJASAMA MITRA"/>
    <x v="5"/>
    <d v="2023-09-06T00:00:00"/>
    <x v="4"/>
    <n v="3"/>
    <n v="130000"/>
    <m/>
    <m/>
    <n v="3"/>
    <n v="390000"/>
    <m/>
    <m/>
  </r>
  <r>
    <s v="KERJASAMA MITRA"/>
    <x v="6"/>
    <d v="2023-09-06T00:00:00"/>
    <x v="4"/>
    <n v="48"/>
    <n v="130000"/>
    <m/>
    <m/>
    <n v="48"/>
    <n v="6240000"/>
    <m/>
    <m/>
  </r>
  <r>
    <s v="KERJASAMA MITRA"/>
    <x v="7"/>
    <d v="2023-09-06T00:00:00"/>
    <x v="4"/>
    <n v="1"/>
    <n v="110000"/>
    <m/>
    <m/>
    <n v="1"/>
    <n v="110000"/>
    <m/>
    <m/>
  </r>
  <r>
    <s v="WALK IN"/>
    <x v="0"/>
    <d v="2023-09-07T00:00:00"/>
    <x v="4"/>
    <n v="96"/>
    <n v="120000"/>
    <m/>
    <m/>
    <n v="96"/>
    <n v="11520000"/>
    <m/>
    <m/>
  </r>
  <r>
    <s v="WALK IN"/>
    <x v="1"/>
    <d v="2023-09-07T00:00:00"/>
    <x v="4"/>
    <n v="22"/>
    <n v="120000"/>
    <m/>
    <m/>
    <n v="22"/>
    <n v="2640000"/>
    <m/>
    <m/>
  </r>
  <r>
    <s v="KERJASAMA MITRA"/>
    <x v="2"/>
    <d v="2023-09-07T00:00:00"/>
    <x v="4"/>
    <n v="3"/>
    <n v="150000"/>
    <m/>
    <m/>
    <n v="3"/>
    <n v="450000"/>
    <m/>
    <m/>
  </r>
  <r>
    <s v="KERJASAMA MITRA"/>
    <x v="3"/>
    <d v="2023-09-07T00:00:00"/>
    <x v="4"/>
    <n v="2"/>
    <n v="130000"/>
    <m/>
    <m/>
    <n v="2"/>
    <n v="260000"/>
    <m/>
    <m/>
  </r>
  <r>
    <s v="KERJASAMA MITRA"/>
    <x v="4"/>
    <d v="2023-09-07T00:00:00"/>
    <x v="4"/>
    <n v="19"/>
    <n v="130000"/>
    <m/>
    <m/>
    <n v="19"/>
    <n v="2470000"/>
    <m/>
    <m/>
  </r>
  <r>
    <s v="KERJASAMA MITRA"/>
    <x v="5"/>
    <d v="2023-09-07T00:00:00"/>
    <x v="4"/>
    <n v="4"/>
    <n v="130000"/>
    <m/>
    <m/>
    <n v="4"/>
    <n v="520000"/>
    <m/>
    <m/>
  </r>
  <r>
    <s v="KERJASAMA MITRA"/>
    <x v="6"/>
    <d v="2023-09-07T00:00:00"/>
    <x v="4"/>
    <n v="72"/>
    <n v="130000"/>
    <m/>
    <m/>
    <n v="72"/>
    <n v="9360000"/>
    <m/>
    <m/>
  </r>
  <r>
    <s v="KERJASAMA MITRA"/>
    <x v="7"/>
    <d v="2023-09-07T00:00:00"/>
    <x v="4"/>
    <n v="1"/>
    <n v="110000"/>
    <m/>
    <m/>
    <n v="1"/>
    <n v="110000"/>
    <m/>
    <m/>
  </r>
  <r>
    <s v="WALK IN"/>
    <x v="0"/>
    <d v="2023-09-08T00:00:00"/>
    <x v="4"/>
    <n v="76"/>
    <n v="120000"/>
    <m/>
    <m/>
    <n v="76"/>
    <n v="9140000"/>
    <m/>
    <m/>
  </r>
  <r>
    <s v="WALK IN"/>
    <x v="1"/>
    <d v="2023-09-08T00:00:00"/>
    <x v="4"/>
    <n v="10"/>
    <n v="120000"/>
    <m/>
    <m/>
    <n v="10"/>
    <n v="1200000"/>
    <m/>
    <m/>
  </r>
  <r>
    <s v="KERJASAMA MITRA"/>
    <x v="2"/>
    <d v="2023-09-08T00:00:00"/>
    <x v="4"/>
    <n v="3"/>
    <n v="150000"/>
    <m/>
    <m/>
    <n v="3"/>
    <n v="450000"/>
    <m/>
    <m/>
  </r>
  <r>
    <s v="KERJASAMA MITRA"/>
    <x v="3"/>
    <d v="2023-09-08T00:00:00"/>
    <x v="4"/>
    <n v="6"/>
    <n v="130000"/>
    <m/>
    <m/>
    <n v="6"/>
    <n v="780000"/>
    <m/>
    <m/>
  </r>
  <r>
    <s v="KERJASAMA MITRA"/>
    <x v="4"/>
    <d v="2023-09-08T00:00:00"/>
    <x v="4"/>
    <n v="15"/>
    <n v="130000"/>
    <m/>
    <m/>
    <n v="15"/>
    <n v="1950000"/>
    <m/>
    <m/>
  </r>
  <r>
    <s v="KERJASAMA MITRA"/>
    <x v="5"/>
    <d v="2023-09-08T00:00:00"/>
    <x v="4"/>
    <n v="9"/>
    <n v="130000"/>
    <m/>
    <m/>
    <n v="9"/>
    <n v="1170000"/>
    <m/>
    <m/>
  </r>
  <r>
    <s v="KERJASAMA MITRA"/>
    <x v="6"/>
    <d v="2023-09-08T00:00:00"/>
    <x v="4"/>
    <n v="59"/>
    <n v="130000"/>
    <m/>
    <m/>
    <n v="59"/>
    <n v="7670000"/>
    <m/>
    <m/>
  </r>
  <r>
    <s v="KERJASAMA MITRA"/>
    <x v="7"/>
    <d v="2023-09-08T00:00:00"/>
    <x v="4"/>
    <n v="1"/>
    <n v="110000"/>
    <m/>
    <m/>
    <n v="1"/>
    <n v="110000"/>
    <m/>
    <m/>
  </r>
  <r>
    <s v="WALK IN"/>
    <x v="0"/>
    <d v="2023-09-09T00:00:00"/>
    <x v="4"/>
    <n v="59"/>
    <n v="120000"/>
    <m/>
    <m/>
    <n v="59"/>
    <n v="7080000"/>
    <m/>
    <m/>
  </r>
  <r>
    <s v="WALK IN"/>
    <x v="1"/>
    <d v="2023-09-09T00:00:00"/>
    <x v="4"/>
    <n v="4"/>
    <n v="120000"/>
    <m/>
    <m/>
    <n v="4"/>
    <n v="480000"/>
    <m/>
    <m/>
  </r>
  <r>
    <s v="KERJASAMA MITRA"/>
    <x v="2"/>
    <d v="2023-09-09T00:00:00"/>
    <x v="4"/>
    <n v="9"/>
    <n v="150000"/>
    <m/>
    <m/>
    <n v="9"/>
    <n v="1350000"/>
    <m/>
    <m/>
  </r>
  <r>
    <s v="KERJASAMA MITRA"/>
    <x v="4"/>
    <d v="2023-09-09T00:00:00"/>
    <x v="4"/>
    <n v="8"/>
    <n v="130000"/>
    <m/>
    <m/>
    <n v="8"/>
    <n v="1040000"/>
    <m/>
    <m/>
  </r>
  <r>
    <s v="KERJASAMA MITRA"/>
    <x v="5"/>
    <d v="2023-09-09T00:00:00"/>
    <x v="4"/>
    <n v="4"/>
    <n v="130000"/>
    <m/>
    <m/>
    <n v="4"/>
    <n v="520000"/>
    <m/>
    <m/>
  </r>
  <r>
    <s v="KERJASAMA MITRA"/>
    <x v="6"/>
    <d v="2023-09-09T00:00:00"/>
    <x v="4"/>
    <n v="48"/>
    <n v="130000"/>
    <m/>
    <m/>
    <n v="48"/>
    <n v="6240000"/>
    <m/>
    <m/>
  </r>
  <r>
    <s v="WALK IN"/>
    <x v="0"/>
    <d v="2023-09-10T00:00:00"/>
    <x v="4"/>
    <n v="74"/>
    <n v="120000"/>
    <m/>
    <m/>
    <n v="74"/>
    <n v="8880000"/>
    <m/>
    <m/>
  </r>
  <r>
    <s v="WALK IN"/>
    <x v="1"/>
    <d v="2023-09-10T00:00:00"/>
    <x v="4"/>
    <n v="1"/>
    <n v="120000"/>
    <m/>
    <m/>
    <n v="1"/>
    <n v="120000"/>
    <m/>
    <m/>
  </r>
  <r>
    <s v="KERJASAMA MITRA"/>
    <x v="4"/>
    <d v="2023-09-10T00:00:00"/>
    <x v="4"/>
    <n v="5"/>
    <n v="130000"/>
    <m/>
    <m/>
    <n v="5"/>
    <n v="650000"/>
    <m/>
    <m/>
  </r>
  <r>
    <s v="KERJASAMA MITRA"/>
    <x v="5"/>
    <d v="2023-09-10T00:00:00"/>
    <x v="4"/>
    <n v="3"/>
    <n v="130000"/>
    <m/>
    <m/>
    <n v="3"/>
    <n v="390000"/>
    <m/>
    <m/>
  </r>
  <r>
    <s v="KERJASAMA MITRA"/>
    <x v="6"/>
    <d v="2023-09-10T00:00:00"/>
    <x v="4"/>
    <n v="57"/>
    <n v="130000"/>
    <m/>
    <m/>
    <n v="57"/>
    <n v="7410000"/>
    <m/>
    <m/>
  </r>
  <r>
    <s v="WALK IN"/>
    <x v="0"/>
    <d v="2023-09-11T00:00:00"/>
    <x v="4"/>
    <n v="45"/>
    <n v="120000"/>
    <m/>
    <m/>
    <n v="45"/>
    <n v="5400000"/>
    <m/>
    <m/>
  </r>
  <r>
    <s v="WALK IN"/>
    <x v="1"/>
    <d v="2023-09-11T00:00:00"/>
    <x v="4"/>
    <n v="13"/>
    <n v="120000"/>
    <m/>
    <m/>
    <n v="13"/>
    <n v="1560000"/>
    <m/>
    <m/>
  </r>
  <r>
    <s v="KERJASAMA MITRA"/>
    <x v="3"/>
    <d v="2023-09-11T00:00:00"/>
    <x v="4"/>
    <n v="4"/>
    <n v="130000"/>
    <m/>
    <m/>
    <n v="4"/>
    <n v="520000"/>
    <m/>
    <m/>
  </r>
  <r>
    <s v="KERJASAMA MITRA"/>
    <x v="4"/>
    <d v="2023-09-11T00:00:00"/>
    <x v="4"/>
    <n v="9"/>
    <n v="130000"/>
    <m/>
    <m/>
    <n v="9"/>
    <n v="1170000"/>
    <m/>
    <m/>
  </r>
  <r>
    <s v="KERJASAMA MITRA"/>
    <x v="5"/>
    <d v="2023-09-11T00:00:00"/>
    <x v="4"/>
    <n v="9"/>
    <n v="130000"/>
    <m/>
    <m/>
    <n v="9"/>
    <n v="1170000"/>
    <m/>
    <m/>
  </r>
  <r>
    <s v="KERJASAMA MITRA"/>
    <x v="6"/>
    <d v="2023-09-11T00:00:00"/>
    <x v="4"/>
    <n v="48"/>
    <n v="130000"/>
    <m/>
    <m/>
    <n v="48"/>
    <n v="6240000"/>
    <m/>
    <m/>
  </r>
  <r>
    <s v="WALK IN"/>
    <x v="0"/>
    <d v="2023-09-12T00:00:00"/>
    <x v="4"/>
    <n v="66"/>
    <n v="120000"/>
    <m/>
    <m/>
    <n v="66"/>
    <n v="7920000"/>
    <m/>
    <m/>
  </r>
  <r>
    <s v="WALK IN"/>
    <x v="1"/>
    <d v="2023-09-12T00:00:00"/>
    <x v="4"/>
    <n v="6"/>
    <n v="120000"/>
    <m/>
    <m/>
    <n v="6"/>
    <n v="720000"/>
    <m/>
    <m/>
  </r>
  <r>
    <s v="KERJASAMA MITRA"/>
    <x v="2"/>
    <d v="2023-09-12T00:00:00"/>
    <x v="4"/>
    <n v="2"/>
    <n v="150000"/>
    <m/>
    <m/>
    <n v="2"/>
    <n v="300000"/>
    <m/>
    <m/>
  </r>
  <r>
    <s v="KERJASAMA MITRA"/>
    <x v="4"/>
    <d v="2023-09-12T00:00:00"/>
    <x v="4"/>
    <n v="12"/>
    <n v="130000"/>
    <m/>
    <m/>
    <n v="12"/>
    <n v="1560000"/>
    <m/>
    <m/>
  </r>
  <r>
    <s v="KERJASAMA MITRA"/>
    <x v="5"/>
    <d v="2023-09-12T00:00:00"/>
    <x v="4"/>
    <n v="8"/>
    <n v="130000"/>
    <m/>
    <m/>
    <n v="8"/>
    <n v="1040000"/>
    <m/>
    <m/>
  </r>
  <r>
    <s v="KERJASAMA MITRA"/>
    <x v="6"/>
    <d v="2023-09-12T00:00:00"/>
    <x v="4"/>
    <n v="47"/>
    <n v="130000"/>
    <m/>
    <m/>
    <n v="47"/>
    <n v="6110000"/>
    <m/>
    <m/>
  </r>
  <r>
    <s v="WALK IN"/>
    <x v="0"/>
    <d v="2023-09-13T00:00:00"/>
    <x v="4"/>
    <n v="82"/>
    <n v="120000"/>
    <m/>
    <m/>
    <n v="82"/>
    <n v="9840000"/>
    <m/>
    <m/>
  </r>
  <r>
    <s v="WALK IN"/>
    <x v="1"/>
    <d v="2023-09-13T00:00:00"/>
    <x v="4"/>
    <n v="25"/>
    <n v="120000"/>
    <m/>
    <m/>
    <n v="25"/>
    <n v="3000000"/>
    <m/>
    <m/>
  </r>
  <r>
    <s v="KERJASAMA MITRA"/>
    <x v="2"/>
    <d v="2023-09-13T00:00:00"/>
    <x v="4"/>
    <n v="1"/>
    <n v="150000"/>
    <m/>
    <m/>
    <n v="1"/>
    <n v="150000"/>
    <m/>
    <m/>
  </r>
  <r>
    <s v="KERJASAMA MITRA"/>
    <x v="3"/>
    <d v="2023-09-13T00:00:00"/>
    <x v="4"/>
    <n v="5"/>
    <n v="130000"/>
    <m/>
    <m/>
    <n v="5"/>
    <n v="650000"/>
    <m/>
    <m/>
  </r>
  <r>
    <s v="KERJASAMA MITRA"/>
    <x v="4"/>
    <d v="2023-09-13T00:00:00"/>
    <x v="4"/>
    <n v="7"/>
    <n v="130000"/>
    <m/>
    <m/>
    <n v="7"/>
    <n v="910000"/>
    <m/>
    <m/>
  </r>
  <r>
    <s v="KERJASAMA MITRA"/>
    <x v="5"/>
    <d v="2023-09-13T00:00:00"/>
    <x v="4"/>
    <n v="2"/>
    <n v="130000"/>
    <m/>
    <m/>
    <n v="2"/>
    <n v="260000"/>
    <m/>
    <m/>
  </r>
  <r>
    <s v="KERJASAMA MITRA"/>
    <x v="6"/>
    <d v="2023-09-13T00:00:00"/>
    <x v="4"/>
    <n v="54"/>
    <n v="130000"/>
    <m/>
    <m/>
    <n v="54"/>
    <n v="7020000"/>
    <m/>
    <m/>
  </r>
  <r>
    <s v="WALK IN"/>
    <x v="0"/>
    <d v="2023-09-14T00:00:00"/>
    <x v="4"/>
    <n v="81"/>
    <n v="120000"/>
    <m/>
    <m/>
    <n v="81"/>
    <n v="9720000"/>
    <m/>
    <m/>
  </r>
  <r>
    <s v="WALK IN"/>
    <x v="1"/>
    <d v="2023-09-14T00:00:00"/>
    <x v="4"/>
    <n v="25"/>
    <n v="120000"/>
    <m/>
    <m/>
    <n v="25"/>
    <n v="3000000"/>
    <m/>
    <m/>
  </r>
  <r>
    <s v="KERJASAMA MITRA"/>
    <x v="2"/>
    <d v="2023-09-14T00:00:00"/>
    <x v="4"/>
    <n v="5"/>
    <n v="150000"/>
    <m/>
    <m/>
    <n v="5"/>
    <n v="750000"/>
    <m/>
    <m/>
  </r>
  <r>
    <s v="KERJASAMA MITRA"/>
    <x v="4"/>
    <d v="2023-09-14T00:00:00"/>
    <x v="4"/>
    <n v="6"/>
    <n v="130000"/>
    <m/>
    <m/>
    <n v="6"/>
    <n v="780000"/>
    <m/>
    <m/>
  </r>
  <r>
    <s v="KERJASAMA MITRA"/>
    <x v="5"/>
    <d v="2023-09-14T00:00:00"/>
    <x v="4"/>
    <n v="3"/>
    <n v="130000"/>
    <m/>
    <m/>
    <n v="3"/>
    <n v="390000"/>
    <m/>
    <m/>
  </r>
  <r>
    <s v="KERJASAMA MITRA"/>
    <x v="6"/>
    <d v="2023-09-14T00:00:00"/>
    <x v="4"/>
    <n v="54"/>
    <n v="130000"/>
    <m/>
    <m/>
    <n v="54"/>
    <n v="7020000"/>
    <m/>
    <m/>
  </r>
  <r>
    <s v="WALK IN"/>
    <x v="0"/>
    <d v="2023-09-15T00:00:00"/>
    <x v="4"/>
    <n v="102"/>
    <n v="120000"/>
    <m/>
    <m/>
    <n v="102"/>
    <n v="12240000"/>
    <m/>
    <m/>
  </r>
  <r>
    <s v="WALK IN"/>
    <x v="1"/>
    <d v="2023-09-15T00:00:00"/>
    <x v="4"/>
    <n v="8"/>
    <n v="120000"/>
    <m/>
    <m/>
    <n v="8"/>
    <n v="960000"/>
    <m/>
    <m/>
  </r>
  <r>
    <s v="KERJASAMA MITRA"/>
    <x v="2"/>
    <d v="2023-09-15T00:00:00"/>
    <x v="4"/>
    <n v="9"/>
    <n v="150000"/>
    <m/>
    <m/>
    <n v="9"/>
    <n v="1350000"/>
    <m/>
    <m/>
  </r>
  <r>
    <s v="KERJASAMA MITRA"/>
    <x v="3"/>
    <d v="2023-09-15T00:00:00"/>
    <x v="4"/>
    <n v="4"/>
    <n v="130000"/>
    <m/>
    <m/>
    <n v="4"/>
    <n v="520000"/>
    <m/>
    <m/>
  </r>
  <r>
    <s v="KERJASAMA MITRA"/>
    <x v="4"/>
    <d v="2023-09-15T00:00:00"/>
    <x v="4"/>
    <n v="4"/>
    <n v="130000"/>
    <m/>
    <m/>
    <n v="4"/>
    <n v="520000"/>
    <m/>
    <m/>
  </r>
  <r>
    <s v="KERJASAMA MITRA"/>
    <x v="5"/>
    <d v="2023-09-15T00:00:00"/>
    <x v="4"/>
    <n v="12"/>
    <n v="130000"/>
    <m/>
    <m/>
    <n v="12"/>
    <n v="1560000"/>
    <m/>
    <m/>
  </r>
  <r>
    <s v="KERJASAMA MITRA"/>
    <x v="6"/>
    <d v="2023-09-15T00:00:00"/>
    <x v="4"/>
    <n v="95"/>
    <n v="130000"/>
    <m/>
    <m/>
    <n v="95"/>
    <n v="12350000"/>
    <m/>
    <m/>
  </r>
  <r>
    <s v="WALK IN"/>
    <x v="0"/>
    <d v="2023-09-16T00:00:00"/>
    <x v="4"/>
    <n v="58"/>
    <n v="120000"/>
    <m/>
    <m/>
    <n v="58"/>
    <n v="6960000"/>
    <m/>
    <m/>
  </r>
  <r>
    <s v="WALK IN"/>
    <x v="1"/>
    <d v="2023-09-16T00:00:00"/>
    <x v="4"/>
    <n v="33"/>
    <n v="120000"/>
    <m/>
    <m/>
    <n v="33"/>
    <n v="3960000"/>
    <m/>
    <m/>
  </r>
  <r>
    <s v="WALK IN"/>
    <x v="8"/>
    <d v="2023-09-16T00:00:00"/>
    <x v="4"/>
    <n v="1"/>
    <n v="1000000"/>
    <m/>
    <m/>
    <n v="1"/>
    <n v="1000000"/>
    <m/>
    <m/>
  </r>
  <r>
    <s v="KERJASAMA MITRA"/>
    <x v="2"/>
    <d v="2023-09-16T00:00:00"/>
    <x v="4"/>
    <n v="3"/>
    <n v="150000"/>
    <m/>
    <m/>
    <n v="3"/>
    <n v="450000"/>
    <m/>
    <m/>
  </r>
  <r>
    <s v="KERJASAMA MITRA"/>
    <x v="4"/>
    <d v="2023-09-16T00:00:00"/>
    <x v="4"/>
    <n v="5"/>
    <n v="130000"/>
    <m/>
    <m/>
    <n v="5"/>
    <n v="650000"/>
    <m/>
    <m/>
  </r>
  <r>
    <s v="KERJASAMA MITRA"/>
    <x v="5"/>
    <d v="2023-09-16T00:00:00"/>
    <x v="4"/>
    <n v="8"/>
    <n v="130000"/>
    <m/>
    <m/>
    <n v="8"/>
    <n v="1040000"/>
    <m/>
    <m/>
  </r>
  <r>
    <s v="KERJASAMA MITRA"/>
    <x v="6"/>
    <d v="2023-09-16T00:00:00"/>
    <x v="4"/>
    <n v="68"/>
    <n v="130000"/>
    <m/>
    <m/>
    <n v="68"/>
    <n v="8840000"/>
    <m/>
    <m/>
  </r>
  <r>
    <s v="WALK IN"/>
    <x v="0"/>
    <d v="2023-09-17T00:00:00"/>
    <x v="4"/>
    <n v="74"/>
    <n v="120000"/>
    <m/>
    <m/>
    <n v="74"/>
    <n v="8880000"/>
    <m/>
    <m/>
  </r>
  <r>
    <s v="WALK IN"/>
    <x v="1"/>
    <d v="2023-09-17T00:00:00"/>
    <x v="4"/>
    <n v="4"/>
    <n v="120000"/>
    <m/>
    <m/>
    <n v="4"/>
    <n v="480000"/>
    <m/>
    <m/>
  </r>
  <r>
    <s v="KERJASAMA MITRA"/>
    <x v="2"/>
    <d v="2023-09-17T00:00:00"/>
    <x v="4"/>
    <n v="4"/>
    <n v="150000"/>
    <m/>
    <m/>
    <n v="4"/>
    <n v="600000"/>
    <m/>
    <m/>
  </r>
  <r>
    <s v="KERJASAMA MITRA"/>
    <x v="4"/>
    <d v="2023-09-17T00:00:00"/>
    <x v="4"/>
    <n v="7"/>
    <n v="130000"/>
    <m/>
    <m/>
    <n v="7"/>
    <n v="910000"/>
    <m/>
    <m/>
  </r>
  <r>
    <s v="KERJASAMA MITRA"/>
    <x v="6"/>
    <d v="2023-09-17T00:00:00"/>
    <x v="4"/>
    <n v="60"/>
    <n v="130000"/>
    <m/>
    <m/>
    <n v="60"/>
    <n v="7800000"/>
    <m/>
    <m/>
  </r>
  <r>
    <s v="KERJASAMA MITRA"/>
    <x v="7"/>
    <d v="2023-09-17T00:00:00"/>
    <x v="4"/>
    <n v="2"/>
    <n v="110000"/>
    <m/>
    <m/>
    <n v="2"/>
    <n v="220000"/>
    <m/>
    <m/>
  </r>
  <r>
    <s v="WALK IN"/>
    <x v="0"/>
    <d v="2023-09-18T00:00:00"/>
    <x v="4"/>
    <n v="58"/>
    <n v="130000"/>
    <m/>
    <m/>
    <n v="58"/>
    <n v="7530000"/>
    <m/>
    <m/>
  </r>
  <r>
    <s v="WALK IN"/>
    <x v="1"/>
    <d v="2023-09-18T00:00:00"/>
    <x v="4"/>
    <n v="54"/>
    <n v="130000"/>
    <m/>
    <m/>
    <n v="54"/>
    <n v="8920000"/>
    <m/>
    <m/>
  </r>
  <r>
    <s v="WALK IN"/>
    <x v="8"/>
    <d v="2023-09-18T00:00:00"/>
    <x v="4"/>
    <n v="1"/>
    <n v="1000000"/>
    <m/>
    <m/>
    <n v="1"/>
    <n v="1000000"/>
    <m/>
    <m/>
  </r>
  <r>
    <s v="KERJASAMA MITRA"/>
    <x v="2"/>
    <d v="2023-09-18T00:00:00"/>
    <x v="4"/>
    <n v="3"/>
    <n v="150000"/>
    <m/>
    <m/>
    <n v="3"/>
    <n v="450000"/>
    <m/>
    <m/>
  </r>
  <r>
    <s v="KERJASAMA MITRA"/>
    <x v="4"/>
    <d v="2023-09-18T00:00:00"/>
    <x v="4"/>
    <n v="4"/>
    <n v="130000"/>
    <m/>
    <m/>
    <n v="4"/>
    <n v="520000"/>
    <m/>
    <m/>
  </r>
  <r>
    <s v="KERJASAMA MITRA"/>
    <x v="5"/>
    <d v="2023-09-18T00:00:00"/>
    <x v="4"/>
    <n v="4"/>
    <n v="130000"/>
    <m/>
    <m/>
    <n v="4"/>
    <n v="520000"/>
    <m/>
    <m/>
  </r>
  <r>
    <s v="KERJASAMA MITRA"/>
    <x v="6"/>
    <d v="2023-09-18T00:00:00"/>
    <x v="4"/>
    <n v="49"/>
    <n v="130000"/>
    <m/>
    <m/>
    <n v="49"/>
    <n v="6370000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3">
  <r>
    <s v="WALK IN"/>
    <x v="0"/>
    <d v="2023-05-11T00:00:00"/>
    <x v="0"/>
    <n v="46"/>
    <n v="99000"/>
    <m/>
    <m/>
    <n v="46"/>
    <n v="4554000"/>
  </r>
  <r>
    <s v="WALK IN"/>
    <x v="1"/>
    <d v="2023-05-11T00:00:00"/>
    <x v="0"/>
    <n v="1"/>
    <n v="99000"/>
    <m/>
    <m/>
    <n v="1"/>
    <n v="99000"/>
  </r>
  <r>
    <s v="WALK IN"/>
    <x v="0"/>
    <d v="2023-05-12T00:00:00"/>
    <x v="0"/>
    <n v="171"/>
    <n v="99000"/>
    <m/>
    <m/>
    <n v="171"/>
    <n v="16929000"/>
  </r>
  <r>
    <s v="WALK IN"/>
    <x v="0"/>
    <d v="2023-05-13T00:00:00"/>
    <x v="0"/>
    <n v="98"/>
    <n v="99000"/>
    <m/>
    <m/>
    <n v="98"/>
    <n v="9702000"/>
  </r>
  <r>
    <s v="WALK IN"/>
    <x v="1"/>
    <d v="2023-05-13T00:00:00"/>
    <x v="0"/>
    <n v="4"/>
    <n v="99000"/>
    <m/>
    <m/>
    <n v="4"/>
    <n v="396000"/>
  </r>
  <r>
    <s v="WALK IN"/>
    <x v="0"/>
    <d v="2023-05-14T00:00:00"/>
    <x v="0"/>
    <n v="121"/>
    <n v="99000"/>
    <m/>
    <m/>
    <n v="121"/>
    <n v="11979000"/>
  </r>
  <r>
    <s v="WALK IN"/>
    <x v="1"/>
    <d v="2023-05-14T00:00:00"/>
    <x v="0"/>
    <n v="12"/>
    <n v="99000"/>
    <m/>
    <m/>
    <n v="12"/>
    <n v="1188000"/>
  </r>
  <r>
    <s v="WALK IN"/>
    <x v="0"/>
    <d v="2023-05-15T00:00:00"/>
    <x v="0"/>
    <n v="65"/>
    <n v="99000"/>
    <m/>
    <m/>
    <n v="65"/>
    <n v="6435000"/>
  </r>
  <r>
    <s v="WALK IN"/>
    <x v="1"/>
    <d v="2023-05-15T00:00:00"/>
    <x v="0"/>
    <n v="32"/>
    <n v="99000"/>
    <m/>
    <m/>
    <n v="32"/>
    <n v="3168000"/>
  </r>
  <r>
    <s v="WALK IN"/>
    <x v="0"/>
    <d v="2023-05-16T00:00:00"/>
    <x v="0"/>
    <n v="81"/>
    <n v="99000"/>
    <m/>
    <m/>
    <n v="81"/>
    <n v="8019000"/>
  </r>
  <r>
    <s v="WALK IN"/>
    <x v="1"/>
    <d v="2023-05-16T00:00:00"/>
    <x v="0"/>
    <n v="10"/>
    <n v="99000"/>
    <m/>
    <m/>
    <n v="10"/>
    <n v="990000"/>
  </r>
  <r>
    <s v="WALK IN"/>
    <x v="0"/>
    <d v="2023-05-17T00:00:00"/>
    <x v="0"/>
    <n v="136"/>
    <n v="99000"/>
    <m/>
    <m/>
    <n v="136"/>
    <n v="13464000"/>
  </r>
  <r>
    <s v="WALK IN"/>
    <x v="1"/>
    <d v="2023-05-17T00:00:00"/>
    <x v="0"/>
    <n v="28"/>
    <n v="99000"/>
    <m/>
    <m/>
    <n v="28"/>
    <n v="2772000"/>
  </r>
  <r>
    <s v="WALK IN"/>
    <x v="0"/>
    <d v="2023-05-18T00:00:00"/>
    <x v="0"/>
    <n v="133"/>
    <n v="99000"/>
    <m/>
    <m/>
    <n v="133"/>
    <n v="13167000"/>
  </r>
  <r>
    <s v="WALK IN"/>
    <x v="1"/>
    <d v="2023-05-18T00:00:00"/>
    <x v="0"/>
    <n v="34"/>
    <n v="99000"/>
    <m/>
    <m/>
    <n v="34"/>
    <n v="3366000"/>
  </r>
  <r>
    <s v="WALK IN"/>
    <x v="0"/>
    <d v="2023-05-19T00:00:00"/>
    <x v="0"/>
    <n v="125"/>
    <n v="99000"/>
    <m/>
    <m/>
    <n v="125"/>
    <n v="12375000"/>
  </r>
  <r>
    <s v="WALK IN"/>
    <x v="1"/>
    <d v="2023-05-19T00:00:00"/>
    <x v="0"/>
    <n v="14"/>
    <n v="99000"/>
    <m/>
    <m/>
    <n v="14"/>
    <n v="1386000"/>
  </r>
  <r>
    <s v="WALK IN"/>
    <x v="0"/>
    <d v="2023-05-20T00:00:00"/>
    <x v="0"/>
    <n v="86"/>
    <n v="99000"/>
    <m/>
    <m/>
    <n v="86"/>
    <n v="8514000"/>
  </r>
  <r>
    <s v="WALK IN"/>
    <x v="1"/>
    <d v="2023-05-20T00:00:00"/>
    <x v="0"/>
    <n v="10"/>
    <n v="99000"/>
    <m/>
    <m/>
    <n v="10"/>
    <n v="990000"/>
  </r>
  <r>
    <s v="WALK IN"/>
    <x v="0"/>
    <d v="2023-05-21T00:00:00"/>
    <x v="0"/>
    <n v="89"/>
    <n v="99000"/>
    <m/>
    <m/>
    <n v="89"/>
    <n v="8811000"/>
  </r>
  <r>
    <s v="WALK IN"/>
    <x v="1"/>
    <d v="2023-05-21T00:00:00"/>
    <x v="0"/>
    <n v="17"/>
    <n v="99000"/>
    <m/>
    <m/>
    <n v="17"/>
    <n v="1683000"/>
  </r>
  <r>
    <s v="WALK IN"/>
    <x v="0"/>
    <d v="2023-05-22T00:00:00"/>
    <x v="0"/>
    <n v="73"/>
    <n v="99000"/>
    <m/>
    <m/>
    <n v="73"/>
    <n v="7227000"/>
  </r>
  <r>
    <s v="WALK IN"/>
    <x v="1"/>
    <d v="2023-05-22T00:00:00"/>
    <x v="0"/>
    <n v="14"/>
    <n v="99000"/>
    <m/>
    <m/>
    <n v="14"/>
    <n v="1386000"/>
  </r>
  <r>
    <s v="WALK IN"/>
    <x v="0"/>
    <d v="2023-05-23T00:00:00"/>
    <x v="0"/>
    <n v="56"/>
    <n v="99000"/>
    <m/>
    <m/>
    <n v="56"/>
    <n v="5544000"/>
  </r>
  <r>
    <s v="WALK IN"/>
    <x v="1"/>
    <d v="2023-05-23T00:00:00"/>
    <x v="0"/>
    <n v="14"/>
    <n v="99000"/>
    <m/>
    <m/>
    <n v="14"/>
    <n v="1386000"/>
  </r>
  <r>
    <s v="WALK IN"/>
    <x v="0"/>
    <d v="2023-05-24T00:00:00"/>
    <x v="0"/>
    <n v="77"/>
    <n v="99000"/>
    <m/>
    <m/>
    <n v="77"/>
    <n v="7623000"/>
  </r>
  <r>
    <s v="WALK IN"/>
    <x v="1"/>
    <d v="2023-05-24T00:00:00"/>
    <x v="0"/>
    <n v="7"/>
    <n v="99000"/>
    <m/>
    <m/>
    <n v="7"/>
    <n v="693000"/>
  </r>
  <r>
    <s v="WALK IN"/>
    <x v="0"/>
    <d v="2023-05-25T00:00:00"/>
    <x v="0"/>
    <n v="127"/>
    <n v="99000"/>
    <m/>
    <m/>
    <n v="127"/>
    <n v="12573000"/>
  </r>
  <r>
    <s v="WALK IN"/>
    <x v="1"/>
    <d v="2023-05-25T00:00:00"/>
    <x v="0"/>
    <n v="17"/>
    <n v="99000"/>
    <m/>
    <m/>
    <n v="17"/>
    <n v="1683000"/>
  </r>
  <r>
    <s v="WALK IN"/>
    <x v="0"/>
    <d v="2023-05-26T00:00:00"/>
    <x v="0"/>
    <n v="158"/>
    <n v="99000"/>
    <m/>
    <m/>
    <n v="158"/>
    <n v="15642000"/>
  </r>
  <r>
    <s v="WALK IN"/>
    <x v="1"/>
    <d v="2023-05-26T00:00:00"/>
    <x v="0"/>
    <n v="18"/>
    <n v="99000"/>
    <m/>
    <m/>
    <n v="18"/>
    <n v="1782000"/>
  </r>
  <r>
    <s v="WALK IN"/>
    <x v="0"/>
    <d v="2023-05-27T00:00:00"/>
    <x v="0"/>
    <n v="94"/>
    <n v="99000"/>
    <m/>
    <m/>
    <n v="94"/>
    <n v="9306000"/>
  </r>
  <r>
    <s v="WALK IN"/>
    <x v="1"/>
    <d v="2023-05-27T00:00:00"/>
    <x v="0"/>
    <n v="5"/>
    <n v="99000"/>
    <m/>
    <m/>
    <n v="5"/>
    <n v="495000"/>
  </r>
  <r>
    <s v="WALK IN"/>
    <x v="0"/>
    <d v="2023-05-28T00:00:00"/>
    <x v="0"/>
    <n v="104"/>
    <n v="99000"/>
    <m/>
    <m/>
    <n v="104"/>
    <n v="10296000"/>
  </r>
  <r>
    <s v="WALK IN"/>
    <x v="1"/>
    <d v="2023-05-28T00:00:00"/>
    <x v="0"/>
    <n v="6"/>
    <n v="99000"/>
    <m/>
    <m/>
    <n v="6"/>
    <n v="594000"/>
  </r>
  <r>
    <s v="WALK IN"/>
    <x v="0"/>
    <d v="2023-05-29T00:00:00"/>
    <x v="0"/>
    <n v="77"/>
    <n v="99000"/>
    <m/>
    <m/>
    <n v="77"/>
    <n v="7623000"/>
  </r>
  <r>
    <s v="WALK IN"/>
    <x v="1"/>
    <d v="2023-05-29T00:00:00"/>
    <x v="0"/>
    <n v="32"/>
    <n v="99000"/>
    <m/>
    <m/>
    <n v="32"/>
    <n v="3168000"/>
  </r>
  <r>
    <s v="WALK IN"/>
    <x v="0"/>
    <d v="2023-05-30T00:00:00"/>
    <x v="0"/>
    <n v="81"/>
    <n v="99000"/>
    <m/>
    <m/>
    <n v="81"/>
    <n v="8019000"/>
  </r>
  <r>
    <s v="WALK IN"/>
    <x v="1"/>
    <d v="2023-05-30T00:00:00"/>
    <x v="0"/>
    <n v="32"/>
    <n v="99000"/>
    <m/>
    <m/>
    <n v="32"/>
    <n v="3168000"/>
  </r>
  <r>
    <s v="WALK IN"/>
    <x v="0"/>
    <d v="2023-05-31T00:00:00"/>
    <x v="0"/>
    <n v="126"/>
    <n v="99000"/>
    <m/>
    <m/>
    <n v="126"/>
    <n v="12474000"/>
  </r>
  <r>
    <s v="WALK IN"/>
    <x v="1"/>
    <d v="2023-05-31T00:00:00"/>
    <x v="0"/>
    <n v="16"/>
    <n v="99000"/>
    <m/>
    <m/>
    <n v="16"/>
    <n v="1584000"/>
  </r>
  <r>
    <s v="WALK IN"/>
    <x v="0"/>
    <d v="2023-06-01T00:00:00"/>
    <x v="1"/>
    <n v="153"/>
    <n v="99000"/>
    <m/>
    <m/>
    <n v="153"/>
    <n v="15147000"/>
  </r>
  <r>
    <s v="WALK IN"/>
    <x v="1"/>
    <d v="2023-06-01T00:00:00"/>
    <x v="1"/>
    <n v="17"/>
    <n v="99000"/>
    <m/>
    <m/>
    <n v="17"/>
    <n v="1683000"/>
  </r>
  <r>
    <s v="WALK IN"/>
    <x v="0"/>
    <d v="2023-06-02T00:00:00"/>
    <x v="1"/>
    <n v="87"/>
    <n v="99000"/>
    <m/>
    <m/>
    <n v="87"/>
    <n v="8613000"/>
  </r>
  <r>
    <s v="WALK IN"/>
    <x v="1"/>
    <d v="2023-06-02T00:00:00"/>
    <x v="1"/>
    <n v="15"/>
    <n v="99000"/>
    <m/>
    <m/>
    <n v="15"/>
    <n v="1485000"/>
  </r>
  <r>
    <s v="KERJASAMA MITRA"/>
    <x v="2"/>
    <d v="2023-06-02T00:00:00"/>
    <x v="1"/>
    <n v="1"/>
    <n v="150000"/>
    <m/>
    <m/>
    <n v="1"/>
    <n v="150000"/>
  </r>
  <r>
    <s v="WALK IN"/>
    <x v="0"/>
    <d v="2023-06-03T00:00:00"/>
    <x v="1"/>
    <n v="65"/>
    <n v="99000"/>
    <m/>
    <m/>
    <n v="65"/>
    <n v="6435000"/>
  </r>
  <r>
    <s v="WALK IN"/>
    <x v="1"/>
    <d v="2023-06-03T00:00:00"/>
    <x v="1"/>
    <n v="2"/>
    <n v="99000"/>
    <m/>
    <m/>
    <n v="2"/>
    <n v="198000"/>
  </r>
  <r>
    <s v="KERJASAMA MITRA"/>
    <x v="2"/>
    <d v="2023-06-03T00:00:00"/>
    <x v="1"/>
    <n v="1"/>
    <n v="150000"/>
    <m/>
    <m/>
    <n v="1"/>
    <n v="150000"/>
  </r>
  <r>
    <s v="WALK IN"/>
    <x v="0"/>
    <d v="2023-06-04T00:00:00"/>
    <x v="1"/>
    <n v="115"/>
    <n v="99000"/>
    <m/>
    <m/>
    <n v="115"/>
    <n v="11385000"/>
  </r>
  <r>
    <s v="KERJASAMA MITRA"/>
    <x v="2"/>
    <d v="2023-06-04T00:00:00"/>
    <x v="1"/>
    <n v="1"/>
    <n v="150000"/>
    <m/>
    <m/>
    <n v="1"/>
    <n v="150000"/>
  </r>
  <r>
    <s v="WALK IN"/>
    <x v="0"/>
    <d v="2023-06-05T00:00:00"/>
    <x v="1"/>
    <n v="140"/>
    <n v="99000"/>
    <m/>
    <m/>
    <n v="140"/>
    <n v="13860000"/>
  </r>
  <r>
    <s v="WALK IN"/>
    <x v="1"/>
    <d v="2023-06-05T00:00:00"/>
    <x v="1"/>
    <n v="15"/>
    <n v="99000"/>
    <m/>
    <m/>
    <n v="15"/>
    <n v="1485000"/>
  </r>
  <r>
    <s v="KERJASAMA MITRA"/>
    <x v="2"/>
    <d v="2023-06-05T00:00:00"/>
    <x v="1"/>
    <n v="1"/>
    <n v="150000"/>
    <m/>
    <m/>
    <n v="1"/>
    <n v="150000"/>
  </r>
  <r>
    <s v="WALK IN"/>
    <x v="0"/>
    <d v="2023-06-06T00:00:00"/>
    <x v="1"/>
    <n v="100"/>
    <n v="99000"/>
    <m/>
    <m/>
    <n v="100"/>
    <n v="9900000"/>
  </r>
  <r>
    <s v="WALK IN"/>
    <x v="1"/>
    <d v="2023-06-06T00:00:00"/>
    <x v="1"/>
    <n v="5"/>
    <n v="99000"/>
    <m/>
    <m/>
    <n v="5"/>
    <n v="495000"/>
  </r>
  <r>
    <s v="WALK IN"/>
    <x v="0"/>
    <d v="2023-06-07T00:00:00"/>
    <x v="1"/>
    <n v="122"/>
    <n v="99000"/>
    <m/>
    <m/>
    <n v="122"/>
    <n v="12078000"/>
  </r>
  <r>
    <s v="WALK IN"/>
    <x v="1"/>
    <d v="2023-06-07T00:00:00"/>
    <x v="1"/>
    <n v="11"/>
    <n v="99000"/>
    <m/>
    <m/>
    <n v="11"/>
    <n v="1089000"/>
  </r>
  <r>
    <s v="WALK IN"/>
    <x v="0"/>
    <d v="2023-06-08T00:00:00"/>
    <x v="1"/>
    <n v="89"/>
    <n v="99000"/>
    <m/>
    <m/>
    <n v="89"/>
    <n v="8811000"/>
  </r>
  <r>
    <s v="WALK IN"/>
    <x v="1"/>
    <d v="2023-06-08T00:00:00"/>
    <x v="1"/>
    <n v="26"/>
    <n v="99000"/>
    <m/>
    <m/>
    <n v="26"/>
    <n v="2574000"/>
  </r>
  <r>
    <s v="KERJASAMA MITRA"/>
    <x v="2"/>
    <d v="2023-06-08T00:00:00"/>
    <x v="1"/>
    <n v="2"/>
    <n v="150000"/>
    <m/>
    <m/>
    <n v="2"/>
    <n v="300000"/>
  </r>
  <r>
    <s v="WALK IN"/>
    <x v="0"/>
    <d v="2023-06-09T00:00:00"/>
    <x v="1"/>
    <n v="118"/>
    <n v="99000"/>
    <m/>
    <m/>
    <n v="118"/>
    <n v="11682000"/>
  </r>
  <r>
    <s v="WALK IN"/>
    <x v="1"/>
    <d v="2023-06-09T00:00:00"/>
    <x v="1"/>
    <n v="13"/>
    <n v="99000"/>
    <m/>
    <m/>
    <n v="13"/>
    <n v="1287000"/>
  </r>
  <r>
    <s v="KERJASAMA MITRA"/>
    <x v="2"/>
    <d v="2023-06-09T00:00:00"/>
    <x v="1"/>
    <n v="2"/>
    <n v="150000"/>
    <m/>
    <m/>
    <n v="2"/>
    <n v="300000"/>
  </r>
  <r>
    <s v="WALK IN"/>
    <x v="0"/>
    <d v="2023-06-10T00:00:00"/>
    <x v="1"/>
    <n v="104"/>
    <n v="99000"/>
    <m/>
    <m/>
    <n v="104"/>
    <n v="10296000"/>
  </r>
  <r>
    <s v="WALK IN"/>
    <x v="1"/>
    <d v="2023-06-10T00:00:00"/>
    <x v="1"/>
    <n v="34"/>
    <n v="99000"/>
    <m/>
    <m/>
    <n v="34"/>
    <n v="3366000"/>
  </r>
  <r>
    <s v="KERJASAMA MITRA"/>
    <x v="2"/>
    <d v="2023-06-10T00:00:00"/>
    <x v="1"/>
    <n v="1"/>
    <n v="150000"/>
    <m/>
    <m/>
    <n v="1"/>
    <n v="150000"/>
  </r>
  <r>
    <s v="WALK IN"/>
    <x v="0"/>
    <d v="2023-06-11T00:00:00"/>
    <x v="1"/>
    <n v="93"/>
    <n v="99000"/>
    <m/>
    <m/>
    <n v="93"/>
    <n v="9207000"/>
  </r>
  <r>
    <s v="WALK IN"/>
    <x v="1"/>
    <d v="2023-06-11T00:00:00"/>
    <x v="1"/>
    <n v="20"/>
    <n v="99000"/>
    <m/>
    <m/>
    <n v="20"/>
    <n v="1980000"/>
  </r>
  <r>
    <s v="KERJASAMA MITRA"/>
    <x v="2"/>
    <d v="2023-06-11T00:00:00"/>
    <x v="1"/>
    <n v="2"/>
    <n v="150000"/>
    <m/>
    <m/>
    <n v="2"/>
    <n v="300000"/>
  </r>
  <r>
    <s v="WALK IN"/>
    <x v="0"/>
    <d v="2023-06-12T00:00:00"/>
    <x v="1"/>
    <n v="114"/>
    <n v="99000"/>
    <m/>
    <m/>
    <n v="114"/>
    <n v="11286000"/>
  </r>
  <r>
    <s v="WALK IN"/>
    <x v="1"/>
    <d v="2023-06-12T00:00:00"/>
    <x v="1"/>
    <n v="10"/>
    <n v="99000"/>
    <m/>
    <m/>
    <n v="10"/>
    <n v="990000"/>
  </r>
  <r>
    <s v="KERJASAMA MITRA"/>
    <x v="2"/>
    <d v="2023-06-12T00:00:00"/>
    <x v="1"/>
    <n v="3"/>
    <n v="150000"/>
    <m/>
    <m/>
    <n v="3"/>
    <n v="450000"/>
  </r>
  <r>
    <s v="WALK IN"/>
    <x v="0"/>
    <d v="2023-06-13T00:00:00"/>
    <x v="1"/>
    <n v="92"/>
    <n v="99000"/>
    <m/>
    <m/>
    <n v="92"/>
    <n v="9108000"/>
  </r>
  <r>
    <s v="WALK IN"/>
    <x v="1"/>
    <d v="2023-06-13T00:00:00"/>
    <x v="1"/>
    <n v="15"/>
    <n v="99000"/>
    <m/>
    <m/>
    <n v="15"/>
    <n v="1485000"/>
  </r>
  <r>
    <s v="KERJASAMA MITRA"/>
    <x v="2"/>
    <d v="2023-06-13T00:00:00"/>
    <x v="1"/>
    <n v="3"/>
    <n v="150000"/>
    <m/>
    <m/>
    <n v="3"/>
    <n v="450000"/>
  </r>
  <r>
    <s v="WALK IN"/>
    <x v="0"/>
    <d v="2023-06-14T00:00:00"/>
    <x v="1"/>
    <n v="142"/>
    <n v="99000"/>
    <m/>
    <m/>
    <n v="142"/>
    <n v="14058000"/>
  </r>
  <r>
    <s v="WALK IN"/>
    <x v="1"/>
    <d v="2023-06-14T00:00:00"/>
    <x v="1"/>
    <n v="8"/>
    <n v="99000"/>
    <m/>
    <m/>
    <n v="8"/>
    <n v="792000"/>
  </r>
  <r>
    <s v="KERJASAMA MITRA"/>
    <x v="2"/>
    <d v="2023-06-14T00:00:00"/>
    <x v="1"/>
    <n v="4"/>
    <n v="150000"/>
    <m/>
    <m/>
    <n v="4"/>
    <n v="600000"/>
  </r>
  <r>
    <s v="WALK IN"/>
    <x v="0"/>
    <d v="2023-06-15T00:00:00"/>
    <x v="1"/>
    <n v="135"/>
    <n v="99000"/>
    <m/>
    <m/>
    <n v="135"/>
    <n v="13365000"/>
  </r>
  <r>
    <s v="WALK IN"/>
    <x v="1"/>
    <d v="2023-06-15T00:00:00"/>
    <x v="1"/>
    <n v="39"/>
    <n v="99000"/>
    <m/>
    <m/>
    <n v="39"/>
    <n v="3861000"/>
  </r>
  <r>
    <s v="KERJASAMA MITRA"/>
    <x v="2"/>
    <d v="2023-06-15T00:00:00"/>
    <x v="1"/>
    <n v="2"/>
    <n v="150000"/>
    <m/>
    <m/>
    <n v="2"/>
    <n v="300000"/>
  </r>
  <r>
    <s v="WALK IN"/>
    <x v="0"/>
    <d v="2023-06-16T00:00:00"/>
    <x v="1"/>
    <n v="171"/>
    <n v="99000"/>
    <m/>
    <m/>
    <n v="171"/>
    <n v="16929000"/>
  </r>
  <r>
    <s v="WALK IN"/>
    <x v="1"/>
    <d v="2023-06-16T00:00:00"/>
    <x v="1"/>
    <n v="31"/>
    <n v="99000"/>
    <m/>
    <m/>
    <n v="31"/>
    <n v="3069000"/>
  </r>
  <r>
    <s v="KERJASAMA MITRA"/>
    <x v="2"/>
    <d v="2023-06-16T00:00:00"/>
    <x v="1"/>
    <n v="1"/>
    <n v="150000"/>
    <m/>
    <m/>
    <n v="1"/>
    <n v="150000"/>
  </r>
  <r>
    <s v="WALK IN"/>
    <x v="0"/>
    <d v="2023-06-17T00:00:00"/>
    <x v="1"/>
    <n v="126"/>
    <n v="99000"/>
    <m/>
    <m/>
    <n v="126"/>
    <n v="12474000"/>
  </r>
  <r>
    <s v="WALK IN"/>
    <x v="1"/>
    <d v="2023-06-17T00:00:00"/>
    <x v="1"/>
    <n v="9"/>
    <n v="99000"/>
    <m/>
    <m/>
    <n v="9"/>
    <n v="891000"/>
  </r>
  <r>
    <s v="KERJASAMA MITRA"/>
    <x v="2"/>
    <d v="2023-06-17T00:00:00"/>
    <x v="1"/>
    <n v="1"/>
    <n v="150000"/>
    <m/>
    <m/>
    <n v="1"/>
    <n v="150000"/>
  </r>
  <r>
    <s v="WALK IN"/>
    <x v="0"/>
    <d v="2023-06-18T00:00:00"/>
    <x v="1"/>
    <n v="119"/>
    <n v="99000"/>
    <m/>
    <m/>
    <n v="119"/>
    <n v="11781000"/>
  </r>
  <r>
    <s v="WALK IN"/>
    <x v="1"/>
    <d v="2023-06-18T00:00:00"/>
    <x v="1"/>
    <n v="30"/>
    <n v="99000"/>
    <m/>
    <m/>
    <n v="30"/>
    <n v="2970000"/>
  </r>
  <r>
    <s v="WALK IN"/>
    <x v="0"/>
    <d v="2023-06-19T00:00:00"/>
    <x v="1"/>
    <n v="73"/>
    <n v="99000"/>
    <m/>
    <m/>
    <n v="73"/>
    <n v="7227000"/>
  </r>
  <r>
    <s v="WALK IN"/>
    <x v="1"/>
    <d v="2023-06-19T00:00:00"/>
    <x v="1"/>
    <n v="29"/>
    <n v="99000"/>
    <m/>
    <m/>
    <n v="29"/>
    <n v="2871000"/>
  </r>
  <r>
    <s v="KERJASAMA MITRA"/>
    <x v="2"/>
    <d v="2023-06-19T00:00:00"/>
    <x v="1"/>
    <n v="1"/>
    <n v="150000"/>
    <m/>
    <m/>
    <n v="1"/>
    <n v="150000"/>
  </r>
  <r>
    <s v="WALK IN"/>
    <x v="0"/>
    <d v="2023-06-20T00:00:00"/>
    <x v="1"/>
    <n v="87"/>
    <n v="99000"/>
    <m/>
    <m/>
    <n v="87"/>
    <n v="8613000"/>
  </r>
  <r>
    <s v="WALK IN"/>
    <x v="1"/>
    <d v="2023-06-20T00:00:00"/>
    <x v="1"/>
    <n v="52"/>
    <n v="99000"/>
    <m/>
    <m/>
    <n v="52"/>
    <n v="5148000"/>
  </r>
  <r>
    <s v="KERJASAMA MITRA"/>
    <x v="2"/>
    <d v="2023-06-20T00:00:00"/>
    <x v="1"/>
    <n v="1"/>
    <n v="150000"/>
    <m/>
    <m/>
    <n v="1"/>
    <n v="150000"/>
  </r>
  <r>
    <s v="WALK IN"/>
    <x v="0"/>
    <d v="2023-06-21T00:00:00"/>
    <x v="1"/>
    <n v="164"/>
    <n v="99000"/>
    <m/>
    <m/>
    <n v="164"/>
    <n v="16236000"/>
  </r>
  <r>
    <s v="WALK IN"/>
    <x v="1"/>
    <d v="2023-06-21T00:00:00"/>
    <x v="1"/>
    <n v="42"/>
    <n v="99000"/>
    <m/>
    <m/>
    <n v="42"/>
    <n v="4158000"/>
  </r>
  <r>
    <s v="WALK IN"/>
    <x v="0"/>
    <d v="2023-06-22T00:00:00"/>
    <x v="1"/>
    <n v="120"/>
    <n v="99000"/>
    <m/>
    <m/>
    <n v="120"/>
    <n v="11880000"/>
  </r>
  <r>
    <s v="WALK IN"/>
    <x v="1"/>
    <d v="2023-06-22T00:00:00"/>
    <x v="1"/>
    <n v="34"/>
    <n v="99000"/>
    <m/>
    <m/>
    <n v="34"/>
    <n v="3366000"/>
  </r>
  <r>
    <s v="KERJASAMA MITRA"/>
    <x v="2"/>
    <d v="2023-06-22T00:00:00"/>
    <x v="1"/>
    <n v="3"/>
    <n v="150000"/>
    <m/>
    <m/>
    <n v="3"/>
    <n v="450000"/>
  </r>
  <r>
    <s v="WALK IN"/>
    <x v="0"/>
    <d v="2023-06-23T00:00:00"/>
    <x v="1"/>
    <n v="142"/>
    <n v="99000"/>
    <m/>
    <m/>
    <n v="142"/>
    <n v="14058000"/>
  </r>
  <r>
    <s v="WALK IN"/>
    <x v="1"/>
    <d v="2023-06-23T00:00:00"/>
    <x v="1"/>
    <n v="37"/>
    <n v="99000"/>
    <m/>
    <m/>
    <n v="37"/>
    <n v="3663000"/>
  </r>
  <r>
    <s v="KERJASAMA MITRA"/>
    <x v="2"/>
    <d v="2023-06-23T00:00:00"/>
    <x v="1"/>
    <n v="7"/>
    <n v="150000"/>
    <m/>
    <m/>
    <n v="7"/>
    <n v="1050000"/>
  </r>
  <r>
    <s v="WALK IN"/>
    <x v="0"/>
    <d v="2023-06-24T00:00:00"/>
    <x v="1"/>
    <n v="145"/>
    <n v="99000"/>
    <m/>
    <m/>
    <n v="145"/>
    <n v="14355000"/>
  </r>
  <r>
    <s v="WALK IN"/>
    <x v="1"/>
    <d v="2023-06-24T00:00:00"/>
    <x v="1"/>
    <n v="12"/>
    <n v="99000"/>
    <m/>
    <m/>
    <n v="12"/>
    <n v="1188000"/>
  </r>
  <r>
    <s v="KERJASAMA MITRA"/>
    <x v="2"/>
    <d v="2023-06-24T00:00:00"/>
    <x v="1"/>
    <n v="1"/>
    <n v="150000"/>
    <m/>
    <m/>
    <n v="1"/>
    <n v="150000"/>
  </r>
  <r>
    <s v="WALK IN"/>
    <x v="0"/>
    <d v="2023-06-25T00:00:00"/>
    <x v="1"/>
    <n v="114"/>
    <n v="99000"/>
    <m/>
    <m/>
    <n v="114"/>
    <n v="11286000"/>
  </r>
  <r>
    <s v="WALK IN"/>
    <x v="1"/>
    <d v="2023-06-25T00:00:00"/>
    <x v="1"/>
    <n v="8"/>
    <n v="99000"/>
    <m/>
    <m/>
    <n v="8"/>
    <n v="792000"/>
  </r>
  <r>
    <s v="KERJASAMA MITRA"/>
    <x v="2"/>
    <d v="2023-06-25T00:00:00"/>
    <x v="1"/>
    <n v="2"/>
    <n v="150000"/>
    <m/>
    <m/>
    <n v="2"/>
    <n v="300000"/>
  </r>
  <r>
    <s v="WALK IN"/>
    <x v="0"/>
    <d v="2023-06-26T00:00:00"/>
    <x v="1"/>
    <n v="131"/>
    <n v="99000"/>
    <m/>
    <m/>
    <n v="131"/>
    <n v="12969000"/>
  </r>
  <r>
    <s v="WALK IN"/>
    <x v="1"/>
    <d v="2023-06-26T00:00:00"/>
    <x v="1"/>
    <n v="10"/>
    <n v="99000"/>
    <m/>
    <m/>
    <n v="10"/>
    <n v="990000"/>
  </r>
  <r>
    <s v="KERJASAMA MITRA"/>
    <x v="2"/>
    <d v="2023-06-26T00:00:00"/>
    <x v="1"/>
    <n v="6"/>
    <n v="150000"/>
    <m/>
    <m/>
    <n v="6"/>
    <n v="900000"/>
  </r>
  <r>
    <s v="WALK IN"/>
    <x v="0"/>
    <d v="2023-06-27T00:00:00"/>
    <x v="1"/>
    <n v="101"/>
    <n v="99000"/>
    <m/>
    <m/>
    <n v="101"/>
    <n v="9999000"/>
  </r>
  <r>
    <s v="WALK IN"/>
    <x v="1"/>
    <d v="2023-06-27T00:00:00"/>
    <x v="1"/>
    <n v="29"/>
    <n v="99000"/>
    <m/>
    <m/>
    <n v="29"/>
    <n v="2871000"/>
  </r>
  <r>
    <s v="WALK IN"/>
    <x v="0"/>
    <d v="2023-06-28T00:00:00"/>
    <x v="1"/>
    <n v="166"/>
    <n v="99000"/>
    <m/>
    <m/>
    <n v="166"/>
    <n v="16434000"/>
  </r>
  <r>
    <s v="WALK IN"/>
    <x v="1"/>
    <d v="2023-06-28T00:00:00"/>
    <x v="1"/>
    <n v="30"/>
    <n v="99000"/>
    <m/>
    <m/>
    <n v="30"/>
    <n v="2970000"/>
  </r>
  <r>
    <s v="KERJASAMA MITRA"/>
    <x v="2"/>
    <d v="2023-06-28T00:00:00"/>
    <x v="1"/>
    <n v="1"/>
    <n v="150000"/>
    <m/>
    <m/>
    <n v="1"/>
    <n v="150000"/>
  </r>
  <r>
    <s v="WALK IN"/>
    <x v="0"/>
    <d v="2023-06-29T00:00:00"/>
    <x v="1"/>
    <n v="225"/>
    <n v="99000"/>
    <m/>
    <m/>
    <n v="225"/>
    <n v="22275000"/>
  </r>
  <r>
    <s v="WALK IN"/>
    <x v="1"/>
    <d v="2023-06-29T00:00:00"/>
    <x v="1"/>
    <n v="77"/>
    <n v="99000"/>
    <m/>
    <m/>
    <n v="77"/>
    <n v="7623000"/>
  </r>
  <r>
    <s v="WALK IN"/>
    <x v="0"/>
    <d v="2023-06-30T00:00:00"/>
    <x v="1"/>
    <n v="108"/>
    <n v="99000"/>
    <m/>
    <m/>
    <n v="108"/>
    <n v="10692000"/>
  </r>
  <r>
    <s v="WALK IN"/>
    <x v="1"/>
    <d v="2023-06-30T00:00:00"/>
    <x v="1"/>
    <n v="45"/>
    <n v="99000"/>
    <m/>
    <m/>
    <n v="45"/>
    <n v="4455000"/>
  </r>
  <r>
    <s v="KERJASAMA MITRA"/>
    <x v="2"/>
    <d v="2023-06-30T00:00:00"/>
    <x v="1"/>
    <n v="1"/>
    <n v="150000"/>
    <m/>
    <m/>
    <n v="1"/>
    <n v="150000"/>
  </r>
  <r>
    <s v="WALK IN"/>
    <x v="0"/>
    <d v="2023-07-01T00:00:00"/>
    <x v="2"/>
    <n v="132"/>
    <n v="99000"/>
    <m/>
    <m/>
    <n v="132"/>
    <n v="13068000"/>
  </r>
  <r>
    <s v="WALK IN"/>
    <x v="1"/>
    <d v="2023-07-01T00:00:00"/>
    <x v="2"/>
    <n v="9"/>
    <n v="99000"/>
    <m/>
    <m/>
    <n v="9"/>
    <n v="891000"/>
  </r>
  <r>
    <s v="KERJASAMA MITRA"/>
    <x v="2"/>
    <d v="2023-07-01T00:00:00"/>
    <x v="2"/>
    <n v="2"/>
    <n v="150000"/>
    <m/>
    <m/>
    <n v="2"/>
    <n v="300000"/>
  </r>
  <r>
    <s v="WALK IN"/>
    <x v="0"/>
    <d v="2023-07-02T00:00:00"/>
    <x v="2"/>
    <n v="180"/>
    <n v="99000"/>
    <m/>
    <m/>
    <n v="180"/>
    <n v="17820000"/>
  </r>
  <r>
    <s v="WALK IN"/>
    <x v="1"/>
    <d v="2023-07-02T00:00:00"/>
    <x v="2"/>
    <n v="23"/>
    <n v="99000"/>
    <m/>
    <m/>
    <n v="23"/>
    <n v="2277000"/>
  </r>
  <r>
    <s v="KERJASAMA MITRA"/>
    <x v="2"/>
    <d v="2023-07-02T00:00:00"/>
    <x v="2"/>
    <n v="2"/>
    <n v="150000"/>
    <m/>
    <m/>
    <n v="2"/>
    <n v="300000"/>
  </r>
  <r>
    <s v="WALK IN"/>
    <x v="0"/>
    <d v="2023-07-03T00:00:00"/>
    <x v="2"/>
    <n v="101"/>
    <n v="99000"/>
    <m/>
    <m/>
    <n v="101"/>
    <n v="9999000"/>
  </r>
  <r>
    <s v="WALK IN"/>
    <x v="1"/>
    <d v="2023-07-03T00:00:00"/>
    <x v="2"/>
    <n v="7"/>
    <n v="99000"/>
    <m/>
    <m/>
    <n v="7"/>
    <n v="693000"/>
  </r>
  <r>
    <s v="WALK IN"/>
    <x v="0"/>
    <d v="2023-07-04T00:00:00"/>
    <x v="2"/>
    <n v="80"/>
    <n v="99000"/>
    <m/>
    <m/>
    <n v="80"/>
    <n v="7920000"/>
  </r>
  <r>
    <s v="WALK IN"/>
    <x v="1"/>
    <d v="2023-07-04T00:00:00"/>
    <x v="2"/>
    <n v="21"/>
    <n v="99000"/>
    <m/>
    <m/>
    <n v="21"/>
    <n v="2079000"/>
  </r>
  <r>
    <s v="WALK IN"/>
    <x v="0"/>
    <d v="2023-07-05T00:00:00"/>
    <x v="2"/>
    <n v="101"/>
    <n v="99000"/>
    <m/>
    <m/>
    <n v="101"/>
    <n v="9999000"/>
  </r>
  <r>
    <s v="WALK IN"/>
    <x v="1"/>
    <d v="2023-07-05T00:00:00"/>
    <x v="2"/>
    <n v="34"/>
    <n v="99000"/>
    <m/>
    <m/>
    <n v="34"/>
    <n v="3366000"/>
  </r>
  <r>
    <s v="KERJASAMA MITRA"/>
    <x v="2"/>
    <d v="2023-07-05T00:00:00"/>
    <x v="2"/>
    <n v="1"/>
    <n v="150000"/>
    <m/>
    <m/>
    <n v="1"/>
    <n v="150000"/>
  </r>
  <r>
    <s v="WALK IN"/>
    <x v="0"/>
    <d v="2023-07-06T00:00:00"/>
    <x v="2"/>
    <n v="78"/>
    <n v="120000"/>
    <m/>
    <m/>
    <n v="78"/>
    <n v="9360000"/>
  </r>
  <r>
    <s v="WALK IN"/>
    <x v="1"/>
    <d v="2023-07-06T00:00:00"/>
    <x v="2"/>
    <n v="23"/>
    <n v="120000"/>
    <m/>
    <m/>
    <n v="23"/>
    <n v="2760000"/>
  </r>
  <r>
    <s v="KERJASAMA MITRA"/>
    <x v="2"/>
    <d v="2023-07-06T00:00:00"/>
    <x v="2"/>
    <n v="5"/>
    <n v="150000"/>
    <m/>
    <m/>
    <n v="5"/>
    <n v="750000"/>
  </r>
  <r>
    <s v="WALK IN"/>
    <x v="0"/>
    <d v="2023-07-07T00:00:00"/>
    <x v="2"/>
    <n v="112"/>
    <n v="120000"/>
    <m/>
    <m/>
    <n v="112"/>
    <n v="13440000"/>
  </r>
  <r>
    <s v="WALK IN"/>
    <x v="1"/>
    <d v="2023-07-07T00:00:00"/>
    <x v="2"/>
    <n v="26"/>
    <n v="120000"/>
    <m/>
    <m/>
    <n v="26"/>
    <n v="3120000"/>
  </r>
  <r>
    <s v="KERJASAMA MITRA"/>
    <x v="2"/>
    <d v="2023-07-07T00:00:00"/>
    <x v="2"/>
    <n v="3"/>
    <n v="150000"/>
    <m/>
    <m/>
    <n v="3"/>
    <n v="450000"/>
  </r>
  <r>
    <s v="WALK IN"/>
    <x v="0"/>
    <d v="2023-07-08T00:00:00"/>
    <x v="2"/>
    <n v="102"/>
    <n v="120000"/>
    <m/>
    <m/>
    <n v="102"/>
    <n v="12240000"/>
  </r>
  <r>
    <s v="WALK IN"/>
    <x v="1"/>
    <d v="2023-07-08T00:00:00"/>
    <x v="2"/>
    <n v="7"/>
    <n v="120000"/>
    <m/>
    <m/>
    <n v="7"/>
    <n v="840000"/>
  </r>
  <r>
    <s v="KERJASAMA MITRA"/>
    <x v="2"/>
    <d v="2023-07-08T00:00:00"/>
    <x v="2"/>
    <n v="2"/>
    <n v="150000"/>
    <m/>
    <m/>
    <n v="2"/>
    <n v="300000"/>
  </r>
  <r>
    <s v="WALK IN"/>
    <x v="0"/>
    <d v="2023-07-09T00:00:00"/>
    <x v="2"/>
    <n v="110"/>
    <n v="120000"/>
    <m/>
    <m/>
    <n v="110"/>
    <n v="13200000"/>
  </r>
  <r>
    <s v="WALK IN"/>
    <x v="1"/>
    <d v="2023-07-09T00:00:00"/>
    <x v="2"/>
    <n v="29"/>
    <n v="120000"/>
    <m/>
    <m/>
    <n v="29"/>
    <n v="3480000"/>
  </r>
  <r>
    <s v="KERJASAMA MITRA"/>
    <x v="2"/>
    <d v="2023-07-09T00:00:00"/>
    <x v="2"/>
    <n v="1"/>
    <n v="150000"/>
    <m/>
    <m/>
    <n v="1"/>
    <n v="150000"/>
  </r>
  <r>
    <s v="WALK IN"/>
    <x v="0"/>
    <d v="2023-07-10T00:00:00"/>
    <x v="2"/>
    <n v="75"/>
    <n v="120000"/>
    <m/>
    <m/>
    <n v="75"/>
    <n v="9000000"/>
  </r>
  <r>
    <s v="WALK IN"/>
    <x v="1"/>
    <d v="2023-07-10T00:00:00"/>
    <x v="2"/>
    <n v="24"/>
    <n v="120000"/>
    <m/>
    <m/>
    <n v="24"/>
    <n v="2880000"/>
  </r>
  <r>
    <s v="KERJASAMA MITRA"/>
    <x v="2"/>
    <d v="2023-07-10T00:00:00"/>
    <x v="2"/>
    <n v="5"/>
    <n v="150000"/>
    <m/>
    <m/>
    <n v="5"/>
    <n v="750000"/>
  </r>
  <r>
    <s v="WALK IN"/>
    <x v="0"/>
    <d v="2023-07-11T00:00:00"/>
    <x v="2"/>
    <n v="92"/>
    <n v="120000"/>
    <m/>
    <m/>
    <n v="92"/>
    <n v="11040000"/>
  </r>
  <r>
    <s v="WALK IN"/>
    <x v="1"/>
    <d v="2023-07-11T00:00:00"/>
    <x v="2"/>
    <n v="12"/>
    <n v="120000"/>
    <m/>
    <m/>
    <n v="12"/>
    <n v="1440000"/>
  </r>
  <r>
    <s v="KERJASAMA MITRA"/>
    <x v="2"/>
    <d v="2023-07-11T00:00:00"/>
    <x v="2"/>
    <n v="5"/>
    <n v="150000"/>
    <m/>
    <m/>
    <n v="5"/>
    <n v="750000"/>
  </r>
  <r>
    <s v="WALK IN"/>
    <x v="0"/>
    <d v="2023-07-12T00:00:00"/>
    <x v="2"/>
    <n v="104"/>
    <n v="120000"/>
    <m/>
    <m/>
    <n v="104"/>
    <n v="12480000"/>
  </r>
  <r>
    <s v="WALK IN"/>
    <x v="1"/>
    <d v="2023-07-12T00:00:00"/>
    <x v="2"/>
    <n v="17"/>
    <n v="120000"/>
    <m/>
    <m/>
    <n v="17"/>
    <n v="2040000"/>
  </r>
  <r>
    <s v="WALK IN"/>
    <x v="0"/>
    <d v="2023-07-13T00:00:00"/>
    <x v="2"/>
    <n v="118"/>
    <n v="120000"/>
    <m/>
    <m/>
    <n v="118"/>
    <n v="14160000"/>
  </r>
  <r>
    <s v="WALK IN"/>
    <x v="1"/>
    <d v="2023-07-13T00:00:00"/>
    <x v="2"/>
    <n v="20"/>
    <n v="120000"/>
    <m/>
    <m/>
    <n v="20"/>
    <n v="2400000"/>
  </r>
  <r>
    <s v="KERJASAMA MITRA"/>
    <x v="2"/>
    <d v="2023-07-13T00:00:00"/>
    <x v="2"/>
    <n v="3"/>
    <n v="150000"/>
    <m/>
    <m/>
    <n v="3"/>
    <n v="450000"/>
  </r>
  <r>
    <s v="WALK IN"/>
    <x v="0"/>
    <d v="2023-07-14T00:00:00"/>
    <x v="2"/>
    <n v="160"/>
    <n v="120000"/>
    <m/>
    <m/>
    <n v="160"/>
    <n v="19200000"/>
  </r>
  <r>
    <s v="WALK IN"/>
    <x v="1"/>
    <d v="2023-07-14T00:00:00"/>
    <x v="2"/>
    <n v="12"/>
    <n v="120000"/>
    <m/>
    <m/>
    <n v="12"/>
    <n v="1440000"/>
  </r>
  <r>
    <s v="KERJASAMA MITRA"/>
    <x v="2"/>
    <d v="2023-07-14T00:00:00"/>
    <x v="2"/>
    <n v="3"/>
    <n v="150000"/>
    <m/>
    <m/>
    <n v="3"/>
    <n v="450000"/>
  </r>
  <r>
    <s v="WALK IN"/>
    <x v="0"/>
    <d v="2023-07-15T00:00:00"/>
    <x v="2"/>
    <n v="108"/>
    <n v="120000"/>
    <m/>
    <m/>
    <n v="108"/>
    <n v="12960000"/>
  </r>
  <r>
    <s v="WALK IN"/>
    <x v="1"/>
    <d v="2023-07-15T00:00:00"/>
    <x v="2"/>
    <n v="2"/>
    <n v="120000"/>
    <m/>
    <m/>
    <n v="2"/>
    <n v="240000"/>
  </r>
  <r>
    <s v="WALK IN"/>
    <x v="0"/>
    <d v="2023-07-16T00:00:00"/>
    <x v="2"/>
    <n v="101"/>
    <n v="120000"/>
    <m/>
    <m/>
    <n v="101"/>
    <n v="12120000"/>
  </r>
  <r>
    <s v="WALK IN"/>
    <x v="1"/>
    <d v="2023-07-16T00:00:00"/>
    <x v="2"/>
    <n v="4"/>
    <n v="120000"/>
    <m/>
    <m/>
    <n v="4"/>
    <n v="480000"/>
  </r>
  <r>
    <s v="KERJASAMA MITRA"/>
    <x v="2"/>
    <d v="2023-07-16T00:00:00"/>
    <x v="2"/>
    <n v="4"/>
    <n v="150000"/>
    <m/>
    <m/>
    <n v="4"/>
    <n v="600000"/>
  </r>
  <r>
    <s v="WALK IN"/>
    <x v="0"/>
    <d v="2023-07-17T00:00:00"/>
    <x v="2"/>
    <n v="113"/>
    <n v="120000"/>
    <m/>
    <m/>
    <n v="113"/>
    <n v="13560000"/>
  </r>
  <r>
    <s v="WALK IN"/>
    <x v="1"/>
    <d v="2023-07-17T00:00:00"/>
    <x v="2"/>
    <n v="15"/>
    <n v="120000"/>
    <m/>
    <m/>
    <n v="15"/>
    <n v="1800000"/>
  </r>
  <r>
    <s v="KERJASAMA MITRA"/>
    <x v="2"/>
    <d v="2023-07-17T00:00:00"/>
    <x v="2"/>
    <n v="2"/>
    <n v="150000"/>
    <m/>
    <m/>
    <n v="2"/>
    <n v="300000"/>
  </r>
  <r>
    <s v="KERJASAMA MITRA"/>
    <x v="3"/>
    <d v="2023-07-17T00:00:00"/>
    <x v="2"/>
    <n v="2"/>
    <n v="130000"/>
    <m/>
    <m/>
    <n v="2"/>
    <n v="260000"/>
  </r>
  <r>
    <s v="WALK IN"/>
    <x v="0"/>
    <d v="2023-07-18T00:00:00"/>
    <x v="2"/>
    <n v="91"/>
    <n v="120000"/>
    <m/>
    <m/>
    <n v="91"/>
    <n v="10920000"/>
  </r>
  <r>
    <s v="WALK IN"/>
    <x v="1"/>
    <d v="2023-07-18T00:00:00"/>
    <x v="2"/>
    <n v="10"/>
    <n v="120000"/>
    <m/>
    <m/>
    <n v="10"/>
    <n v="1200000"/>
  </r>
  <r>
    <s v="KERJASAMA MITRA"/>
    <x v="2"/>
    <d v="2023-07-18T00:00:00"/>
    <x v="2"/>
    <n v="1"/>
    <n v="150000"/>
    <m/>
    <m/>
    <n v="1"/>
    <n v="150000"/>
  </r>
  <r>
    <s v="KERJASAMA MITRA"/>
    <x v="3"/>
    <d v="2023-07-18T00:00:00"/>
    <x v="2"/>
    <n v="2"/>
    <n v="130000"/>
    <m/>
    <m/>
    <n v="2"/>
    <n v="260000"/>
  </r>
  <r>
    <s v="KERJASAMA MITRA"/>
    <x v="4"/>
    <d v="2023-07-18T00:00:00"/>
    <x v="2"/>
    <n v="11"/>
    <n v="130000"/>
    <m/>
    <m/>
    <n v="11"/>
    <n v="1430000"/>
  </r>
  <r>
    <s v="WALK IN"/>
    <x v="0"/>
    <d v="2023-07-19T00:00:00"/>
    <x v="2"/>
    <n v="153"/>
    <n v="120000"/>
    <m/>
    <m/>
    <n v="153"/>
    <n v="18360000"/>
  </r>
  <r>
    <s v="WALK IN"/>
    <x v="1"/>
    <d v="2023-07-19T00:00:00"/>
    <x v="2"/>
    <n v="14"/>
    <n v="120000"/>
    <m/>
    <m/>
    <n v="14"/>
    <n v="1680000"/>
  </r>
  <r>
    <s v="KERJASAMA MITRA"/>
    <x v="2"/>
    <d v="2023-07-19T00:00:00"/>
    <x v="2"/>
    <n v="7"/>
    <n v="150000"/>
    <m/>
    <m/>
    <n v="7"/>
    <n v="1050000"/>
  </r>
  <r>
    <s v="KERJASAMA MITRA"/>
    <x v="3"/>
    <d v="2023-07-19T00:00:00"/>
    <x v="2"/>
    <n v="4"/>
    <n v="130000"/>
    <m/>
    <m/>
    <n v="4"/>
    <n v="520000"/>
  </r>
  <r>
    <s v="KERJASAMA MITRA"/>
    <x v="4"/>
    <d v="2023-07-19T00:00:00"/>
    <x v="2"/>
    <n v="4"/>
    <n v="130000"/>
    <m/>
    <m/>
    <n v="4"/>
    <n v="520000"/>
  </r>
  <r>
    <s v="WALK IN"/>
    <x v="0"/>
    <d v="2023-07-20T00:00:00"/>
    <x v="2"/>
    <n v="80"/>
    <n v="120000"/>
    <m/>
    <m/>
    <n v="80"/>
    <n v="9600000"/>
  </r>
  <r>
    <s v="WALK IN"/>
    <x v="1"/>
    <d v="2023-07-20T00:00:00"/>
    <x v="2"/>
    <n v="12"/>
    <n v="120000"/>
    <m/>
    <m/>
    <n v="12"/>
    <n v="1440000"/>
  </r>
  <r>
    <s v="KERJASAMA MITRA"/>
    <x v="3"/>
    <d v="2023-07-20T00:00:00"/>
    <x v="2"/>
    <n v="2"/>
    <n v="130000"/>
    <m/>
    <m/>
    <n v="2"/>
    <n v="260000"/>
  </r>
  <r>
    <s v="WALK IN"/>
    <x v="0"/>
    <d v="2023-07-21T00:00:00"/>
    <x v="2"/>
    <n v="113"/>
    <n v="120000"/>
    <m/>
    <m/>
    <n v="113"/>
    <n v="13560000"/>
  </r>
  <r>
    <s v="WALK IN"/>
    <x v="1"/>
    <d v="2023-07-21T00:00:00"/>
    <x v="2"/>
    <n v="13"/>
    <n v="120000"/>
    <m/>
    <m/>
    <n v="13"/>
    <n v="1560000"/>
  </r>
  <r>
    <s v="KERJASAMA MITRA"/>
    <x v="2"/>
    <d v="2023-07-21T00:00:00"/>
    <x v="2"/>
    <n v="5"/>
    <n v="150000"/>
    <m/>
    <m/>
    <n v="5"/>
    <n v="750000"/>
  </r>
  <r>
    <s v="KERJASAMA MITRA"/>
    <x v="3"/>
    <d v="2023-07-21T00:00:00"/>
    <x v="2"/>
    <n v="1"/>
    <n v="130000"/>
    <m/>
    <m/>
    <n v="1"/>
    <n v="130000"/>
  </r>
  <r>
    <s v="KERJASAMA MITRA"/>
    <x v="4"/>
    <d v="2023-07-21T00:00:00"/>
    <x v="2"/>
    <n v="2"/>
    <n v="130000"/>
    <m/>
    <m/>
    <n v="2"/>
    <n v="260000"/>
  </r>
  <r>
    <s v="WALK IN"/>
    <x v="0"/>
    <d v="2023-07-22T00:00:00"/>
    <x v="2"/>
    <n v="103"/>
    <n v="120000"/>
    <m/>
    <m/>
    <n v="103"/>
    <n v="12360000"/>
  </r>
  <r>
    <s v="WALK IN"/>
    <x v="1"/>
    <d v="2023-07-22T00:00:00"/>
    <x v="2"/>
    <n v="8"/>
    <n v="120000"/>
    <m/>
    <m/>
    <n v="8"/>
    <n v="960000"/>
  </r>
  <r>
    <s v="KERJASAMA MITRA"/>
    <x v="2"/>
    <d v="2023-07-22T00:00:00"/>
    <x v="2"/>
    <n v="3"/>
    <n v="150000"/>
    <m/>
    <m/>
    <n v="3"/>
    <n v="450000"/>
  </r>
  <r>
    <s v="KERJASAMA MITRA"/>
    <x v="3"/>
    <d v="2023-07-22T00:00:00"/>
    <x v="2"/>
    <n v="4"/>
    <n v="130000"/>
    <m/>
    <m/>
    <n v="4"/>
    <n v="520000"/>
  </r>
  <r>
    <s v="KERJASAMA MITRA"/>
    <x v="4"/>
    <d v="2023-07-22T00:00:00"/>
    <x v="2"/>
    <n v="5"/>
    <n v="130000"/>
    <m/>
    <m/>
    <n v="5"/>
    <n v="650000"/>
  </r>
  <r>
    <s v="WALK IN"/>
    <x v="0"/>
    <d v="2023-07-23T00:00:00"/>
    <x v="2"/>
    <n v="88"/>
    <n v="120000"/>
    <m/>
    <m/>
    <n v="88"/>
    <n v="10560000"/>
  </r>
  <r>
    <s v="WALK IN"/>
    <x v="1"/>
    <d v="2023-07-23T00:00:00"/>
    <x v="2"/>
    <n v="37"/>
    <n v="120000"/>
    <m/>
    <m/>
    <n v="37"/>
    <n v="4440000"/>
  </r>
  <r>
    <s v="KERJASAMA MITRA"/>
    <x v="2"/>
    <d v="2023-07-23T00:00:00"/>
    <x v="2"/>
    <n v="1"/>
    <n v="150000"/>
    <m/>
    <m/>
    <n v="1"/>
    <n v="150000"/>
  </r>
  <r>
    <s v="KERJASAMA MITRA"/>
    <x v="3"/>
    <d v="2023-07-23T00:00:00"/>
    <x v="2"/>
    <n v="3"/>
    <n v="130000"/>
    <m/>
    <m/>
    <n v="3"/>
    <n v="390000"/>
  </r>
  <r>
    <s v="KERJASAMA MITRA"/>
    <x v="4"/>
    <d v="2023-07-23T00:00:00"/>
    <x v="2"/>
    <n v="5"/>
    <n v="130000"/>
    <m/>
    <m/>
    <n v="5"/>
    <n v="650000"/>
  </r>
  <r>
    <s v="WALK IN"/>
    <x v="0"/>
    <d v="2023-07-24T00:00:00"/>
    <x v="2"/>
    <n v="114"/>
    <n v="120000"/>
    <m/>
    <m/>
    <n v="114"/>
    <n v="13680000"/>
  </r>
  <r>
    <s v="WALK IN"/>
    <x v="1"/>
    <d v="2023-07-24T00:00:00"/>
    <x v="2"/>
    <n v="10"/>
    <n v="120000"/>
    <m/>
    <m/>
    <n v="10"/>
    <n v="1200000"/>
  </r>
  <r>
    <s v="KERJASAMA MITRA"/>
    <x v="2"/>
    <d v="2023-07-24T00:00:00"/>
    <x v="2"/>
    <n v="2"/>
    <n v="150000"/>
    <m/>
    <m/>
    <n v="2"/>
    <n v="300000"/>
  </r>
  <r>
    <s v="KERJASAMA MITRA"/>
    <x v="4"/>
    <d v="2023-07-24T00:00:00"/>
    <x v="2"/>
    <n v="2"/>
    <n v="130000"/>
    <m/>
    <m/>
    <n v="2"/>
    <n v="260000"/>
  </r>
  <r>
    <s v="WALK IN"/>
    <x v="0"/>
    <d v="2023-07-25T00:00:00"/>
    <x v="2"/>
    <n v="79"/>
    <n v="120000"/>
    <m/>
    <m/>
    <n v="79"/>
    <n v="9480000"/>
  </r>
  <r>
    <s v="WALK IN"/>
    <x v="1"/>
    <d v="2023-07-25T00:00:00"/>
    <x v="2"/>
    <n v="10"/>
    <n v="120000"/>
    <m/>
    <m/>
    <n v="10"/>
    <n v="1200000"/>
  </r>
  <r>
    <s v="KERJASAMA MITRA"/>
    <x v="2"/>
    <d v="2023-07-25T00:00:00"/>
    <x v="2"/>
    <n v="1"/>
    <n v="150000"/>
    <m/>
    <m/>
    <n v="1"/>
    <n v="150000"/>
  </r>
  <r>
    <s v="KERJASAMA MITRA"/>
    <x v="3"/>
    <d v="2023-07-25T00:00:00"/>
    <x v="2"/>
    <n v="4"/>
    <n v="130000"/>
    <m/>
    <m/>
    <n v="4"/>
    <n v="520000"/>
  </r>
  <r>
    <s v="KERJASAMA MITRA"/>
    <x v="4"/>
    <d v="2023-07-25T00:00:00"/>
    <x v="2"/>
    <n v="14"/>
    <n v="130000"/>
    <m/>
    <m/>
    <n v="14"/>
    <n v="1820000"/>
  </r>
  <r>
    <s v="WALK IN"/>
    <x v="0"/>
    <d v="2023-07-26T00:00:00"/>
    <x v="2"/>
    <n v="107"/>
    <n v="120000"/>
    <m/>
    <m/>
    <n v="107"/>
    <n v="12840000"/>
  </r>
  <r>
    <s v="WALK IN"/>
    <x v="1"/>
    <d v="2023-07-26T00:00:00"/>
    <x v="2"/>
    <n v="14"/>
    <n v="120000"/>
    <m/>
    <m/>
    <n v="14"/>
    <n v="1680000"/>
  </r>
  <r>
    <s v="KERJASAMA MITRA"/>
    <x v="2"/>
    <d v="2023-07-26T00:00:00"/>
    <x v="2"/>
    <n v="4"/>
    <n v="150000"/>
    <m/>
    <m/>
    <n v="4"/>
    <n v="600000"/>
  </r>
  <r>
    <s v="KERJASAMA MITRA"/>
    <x v="4"/>
    <d v="2023-07-26T00:00:00"/>
    <x v="2"/>
    <n v="5"/>
    <n v="130000"/>
    <m/>
    <m/>
    <n v="5"/>
    <n v="650000"/>
  </r>
  <r>
    <s v="WALK IN"/>
    <x v="0"/>
    <d v="2023-07-27T00:00:00"/>
    <x v="2"/>
    <n v="84"/>
    <n v="120000"/>
    <m/>
    <m/>
    <n v="84"/>
    <n v="10080000"/>
  </r>
  <r>
    <s v="WALK IN"/>
    <x v="1"/>
    <d v="2023-07-27T00:00:00"/>
    <x v="2"/>
    <n v="23"/>
    <n v="120000"/>
    <m/>
    <m/>
    <n v="23"/>
    <n v="2760000"/>
  </r>
  <r>
    <s v="KERJASAMA MITRA"/>
    <x v="2"/>
    <d v="2023-07-27T00:00:00"/>
    <x v="2"/>
    <n v="3"/>
    <n v="150000"/>
    <m/>
    <m/>
    <n v="3"/>
    <n v="450000"/>
  </r>
  <r>
    <s v="KERJASAMA MITRA"/>
    <x v="4"/>
    <d v="2023-07-27T00:00:00"/>
    <x v="2"/>
    <n v="4"/>
    <n v="130000"/>
    <m/>
    <m/>
    <n v="4"/>
    <n v="520000"/>
  </r>
  <r>
    <s v="WALK IN"/>
    <x v="0"/>
    <d v="2023-07-28T00:00:00"/>
    <x v="2"/>
    <n v="134"/>
    <n v="120000"/>
    <m/>
    <m/>
    <n v="134"/>
    <n v="16080000"/>
  </r>
  <r>
    <s v="WALK IN"/>
    <x v="1"/>
    <d v="2023-07-28T00:00:00"/>
    <x v="2"/>
    <n v="12"/>
    <n v="120000"/>
    <m/>
    <m/>
    <n v="12"/>
    <n v="1440000"/>
  </r>
  <r>
    <s v="KERJASAMA MITRA"/>
    <x v="2"/>
    <d v="2023-07-28T00:00:00"/>
    <x v="2"/>
    <n v="5"/>
    <n v="150000"/>
    <m/>
    <m/>
    <n v="5"/>
    <n v="750000"/>
  </r>
  <r>
    <s v="KERJASAMA MITRA"/>
    <x v="3"/>
    <d v="2023-07-28T00:00:00"/>
    <x v="2"/>
    <n v="2"/>
    <n v="130000"/>
    <m/>
    <m/>
    <n v="2"/>
    <n v="260000"/>
  </r>
  <r>
    <s v="KERJASAMA MITRA"/>
    <x v="4"/>
    <d v="2023-07-28T00:00:00"/>
    <x v="2"/>
    <n v="2"/>
    <n v="130000"/>
    <m/>
    <m/>
    <n v="2"/>
    <n v="260000"/>
  </r>
  <r>
    <s v="WALK IN"/>
    <x v="0"/>
    <d v="2023-07-29T00:00:00"/>
    <x v="2"/>
    <n v="84"/>
    <n v="120000"/>
    <m/>
    <m/>
    <n v="84"/>
    <n v="10080000"/>
  </r>
  <r>
    <s v="WALK IN"/>
    <x v="1"/>
    <d v="2023-07-29T00:00:00"/>
    <x v="2"/>
    <n v="29"/>
    <n v="120000"/>
    <m/>
    <m/>
    <n v="29"/>
    <n v="3480000"/>
  </r>
  <r>
    <s v="KERJASAMA MITRA"/>
    <x v="2"/>
    <d v="2023-07-29T00:00:00"/>
    <x v="2"/>
    <n v="9"/>
    <n v="150000"/>
    <m/>
    <m/>
    <n v="9"/>
    <n v="1350000"/>
  </r>
  <r>
    <s v="KERJASAMA MITRA"/>
    <x v="4"/>
    <d v="2023-07-29T00:00:00"/>
    <x v="2"/>
    <n v="1"/>
    <n v="130000"/>
    <m/>
    <m/>
    <n v="1"/>
    <n v="130000"/>
  </r>
  <r>
    <s v="WALK IN"/>
    <x v="0"/>
    <d v="2023-07-30T00:00:00"/>
    <x v="2"/>
    <n v="108"/>
    <n v="120000"/>
    <m/>
    <m/>
    <n v="108"/>
    <n v="12960000"/>
  </r>
  <r>
    <s v="WALK IN"/>
    <x v="1"/>
    <d v="2023-07-30T00:00:00"/>
    <x v="2"/>
    <n v="6"/>
    <n v="120000"/>
    <m/>
    <m/>
    <n v="6"/>
    <n v="720000"/>
  </r>
  <r>
    <s v="KERJASAMA MITRA"/>
    <x v="2"/>
    <d v="2023-07-30T00:00:00"/>
    <x v="2"/>
    <n v="6"/>
    <n v="150000"/>
    <m/>
    <m/>
    <n v="6"/>
    <n v="900000"/>
  </r>
  <r>
    <s v="KERJASAMA MITRA"/>
    <x v="4"/>
    <d v="2023-07-30T00:00:00"/>
    <x v="2"/>
    <n v="1"/>
    <n v="130000"/>
    <m/>
    <m/>
    <n v="1"/>
    <n v="130000"/>
  </r>
  <r>
    <s v="WALK IN"/>
    <x v="0"/>
    <d v="2023-07-31T00:00:00"/>
    <x v="2"/>
    <n v="81"/>
    <n v="120000"/>
    <m/>
    <m/>
    <n v="81"/>
    <n v="9720000"/>
  </r>
  <r>
    <s v="WALK IN"/>
    <x v="1"/>
    <d v="2023-07-31T00:00:00"/>
    <x v="2"/>
    <n v="5"/>
    <n v="120000"/>
    <m/>
    <m/>
    <n v="5"/>
    <n v="600000"/>
  </r>
  <r>
    <s v="KERJASAMA MITRA"/>
    <x v="2"/>
    <d v="2023-07-31T00:00:00"/>
    <x v="2"/>
    <n v="4"/>
    <n v="150000"/>
    <m/>
    <m/>
    <n v="4"/>
    <n v="600000"/>
  </r>
  <r>
    <s v="KERJASAMA MITRA"/>
    <x v="3"/>
    <d v="2023-07-31T00:00:00"/>
    <x v="2"/>
    <n v="3"/>
    <n v="130000"/>
    <m/>
    <m/>
    <n v="3"/>
    <n v="390000"/>
  </r>
  <r>
    <s v="KERJASAMA MITRA"/>
    <x v="4"/>
    <d v="2023-07-31T00:00:00"/>
    <x v="2"/>
    <n v="1"/>
    <n v="130000"/>
    <m/>
    <m/>
    <n v="1"/>
    <n v="130000"/>
  </r>
  <r>
    <s v="WALK IN"/>
    <x v="0"/>
    <d v="2023-08-01T00:00:00"/>
    <x v="3"/>
    <n v="32"/>
    <n v="120000"/>
    <m/>
    <m/>
    <n v="32"/>
    <n v="3840000"/>
  </r>
  <r>
    <s v="WALK IN"/>
    <x v="1"/>
    <d v="2023-08-01T00:00:00"/>
    <x v="3"/>
    <n v="42"/>
    <n v="120000"/>
    <m/>
    <m/>
    <n v="42"/>
    <n v="5040240"/>
  </r>
  <r>
    <s v="KERJASAMA MITRA"/>
    <x v="4"/>
    <d v="2023-08-01T00:00:00"/>
    <x v="3"/>
    <n v="3"/>
    <n v="130000"/>
    <m/>
    <m/>
    <n v="3"/>
    <n v="390000"/>
  </r>
  <r>
    <s v="WALK IN"/>
    <x v="0"/>
    <d v="2023-08-02T00:00:00"/>
    <x v="3"/>
    <n v="43"/>
    <n v="120000"/>
    <m/>
    <m/>
    <n v="43"/>
    <n v="5160000"/>
  </r>
  <r>
    <s v="WALK IN"/>
    <x v="1"/>
    <d v="2023-08-02T00:00:00"/>
    <x v="3"/>
    <n v="40"/>
    <n v="120000"/>
    <m/>
    <m/>
    <n v="40"/>
    <n v="4801000"/>
  </r>
  <r>
    <s v="KERJASAMA MITRA"/>
    <x v="2"/>
    <d v="2023-08-02T00:00:00"/>
    <x v="3"/>
    <n v="6"/>
    <n v="150000"/>
    <m/>
    <m/>
    <n v="6"/>
    <n v="900000"/>
  </r>
  <r>
    <s v="KERJASAMA MITRA"/>
    <x v="3"/>
    <d v="2023-08-02T00:00:00"/>
    <x v="3"/>
    <n v="2"/>
    <n v="130000"/>
    <m/>
    <m/>
    <n v="2"/>
    <n v="260000"/>
  </r>
  <r>
    <s v="KERJASAMA MITRA"/>
    <x v="5"/>
    <d v="2023-08-02T00:00:00"/>
    <x v="3"/>
    <n v="4"/>
    <n v="130000"/>
    <m/>
    <m/>
    <n v="4"/>
    <n v="520000"/>
  </r>
  <r>
    <s v="WALK IN"/>
    <x v="0"/>
    <d v="2023-08-03T00:00:00"/>
    <x v="3"/>
    <n v="10"/>
    <n v="120000"/>
    <m/>
    <m/>
    <n v="10"/>
    <n v="1200000"/>
  </r>
  <r>
    <s v="WALK IN"/>
    <x v="1"/>
    <d v="2023-08-03T00:00:00"/>
    <x v="3"/>
    <n v="127"/>
    <n v="120000"/>
    <m/>
    <m/>
    <n v="127"/>
    <n v="15240000"/>
  </r>
  <r>
    <s v="KERJASAMA MITRA"/>
    <x v="3"/>
    <d v="2023-08-03T00:00:00"/>
    <x v="3"/>
    <n v="4"/>
    <n v="130000"/>
    <m/>
    <m/>
    <n v="4"/>
    <n v="520000"/>
  </r>
  <r>
    <s v="KERJASAMA MITRA"/>
    <x v="4"/>
    <d v="2023-08-03T00:00:00"/>
    <x v="3"/>
    <n v="9"/>
    <n v="130000"/>
    <m/>
    <m/>
    <n v="9"/>
    <n v="1170000"/>
  </r>
  <r>
    <s v="WALK IN"/>
    <x v="0"/>
    <d v="2023-08-04T00:00:00"/>
    <x v="3"/>
    <n v="91"/>
    <n v="120000"/>
    <m/>
    <m/>
    <n v="91"/>
    <n v="10920000"/>
  </r>
  <r>
    <s v="WALK IN"/>
    <x v="1"/>
    <d v="2023-08-04T00:00:00"/>
    <x v="3"/>
    <n v="38"/>
    <n v="120000"/>
    <m/>
    <m/>
    <n v="38"/>
    <n v="4560000"/>
  </r>
  <r>
    <s v="KERJASAMA MITRA"/>
    <x v="2"/>
    <d v="2023-08-04T00:00:00"/>
    <x v="3"/>
    <n v="5"/>
    <n v="150000"/>
    <m/>
    <m/>
    <n v="5"/>
    <n v="750000"/>
  </r>
  <r>
    <s v="KERJASAMA MITRA"/>
    <x v="3"/>
    <d v="2023-08-04T00:00:00"/>
    <x v="3"/>
    <n v="2"/>
    <n v="130000"/>
    <m/>
    <m/>
    <n v="2"/>
    <n v="260000"/>
  </r>
  <r>
    <s v="KERJASAMA MITRA"/>
    <x v="4"/>
    <d v="2023-08-04T00:00:00"/>
    <x v="3"/>
    <n v="2"/>
    <n v="130000"/>
    <m/>
    <m/>
    <n v="2"/>
    <n v="260000"/>
  </r>
  <r>
    <s v="KERJASAMA MITRA"/>
    <x v="5"/>
    <d v="2023-08-04T00:00:00"/>
    <x v="3"/>
    <n v="3"/>
    <n v="130000"/>
    <m/>
    <m/>
    <n v="3"/>
    <n v="390000"/>
  </r>
  <r>
    <s v="KERJASAMA MITRA"/>
    <x v="6"/>
    <d v="2023-08-04T00:00:00"/>
    <x v="3"/>
    <n v="14"/>
    <n v="130000"/>
    <m/>
    <m/>
    <n v="14"/>
    <n v="1820000"/>
  </r>
  <r>
    <s v="WALK IN"/>
    <x v="0"/>
    <d v="2023-08-05T00:00:00"/>
    <x v="3"/>
    <n v="52"/>
    <n v="120000"/>
    <m/>
    <m/>
    <n v="52"/>
    <n v="6240000"/>
  </r>
  <r>
    <s v="WALK IN"/>
    <x v="1"/>
    <d v="2023-08-05T00:00:00"/>
    <x v="3"/>
    <n v="5"/>
    <n v="120000"/>
    <m/>
    <m/>
    <n v="5"/>
    <n v="600000"/>
  </r>
  <r>
    <s v="KERJASAMA MITRA"/>
    <x v="2"/>
    <d v="2023-08-05T00:00:00"/>
    <x v="3"/>
    <n v="4"/>
    <n v="150000"/>
    <m/>
    <m/>
    <n v="4"/>
    <n v="600000"/>
  </r>
  <r>
    <s v="KERJASAMA MITRA"/>
    <x v="3"/>
    <d v="2023-08-05T00:00:00"/>
    <x v="3"/>
    <n v="5"/>
    <n v="130000"/>
    <m/>
    <m/>
    <n v="5"/>
    <n v="650000"/>
  </r>
  <r>
    <s v="KERJASAMA MITRA"/>
    <x v="4"/>
    <d v="2023-08-05T00:00:00"/>
    <x v="3"/>
    <n v="3"/>
    <n v="130000"/>
    <m/>
    <m/>
    <n v="3"/>
    <n v="390000"/>
  </r>
  <r>
    <s v="KERJASAMA MITRA"/>
    <x v="5"/>
    <d v="2023-08-05T00:00:00"/>
    <x v="3"/>
    <n v="1"/>
    <n v="130000"/>
    <m/>
    <m/>
    <n v="1"/>
    <n v="130000"/>
  </r>
  <r>
    <s v="KERJASAMA MITRA"/>
    <x v="6"/>
    <d v="2023-08-05T00:00:00"/>
    <x v="3"/>
    <n v="28"/>
    <n v="130000"/>
    <m/>
    <m/>
    <n v="28"/>
    <n v="3640000"/>
  </r>
  <r>
    <s v="WALK IN"/>
    <x v="0"/>
    <d v="2023-08-06T00:00:00"/>
    <x v="3"/>
    <n v="63"/>
    <n v="120000"/>
    <m/>
    <m/>
    <n v="63"/>
    <n v="7560000"/>
  </r>
  <r>
    <s v="WALK IN"/>
    <x v="1"/>
    <d v="2023-08-06T00:00:00"/>
    <x v="3"/>
    <n v="10"/>
    <n v="120000"/>
    <m/>
    <m/>
    <n v="10"/>
    <n v="1200000"/>
  </r>
  <r>
    <s v="KERJASAMA MITRA"/>
    <x v="2"/>
    <d v="2023-08-06T00:00:00"/>
    <x v="3"/>
    <n v="2"/>
    <n v="150000"/>
    <m/>
    <m/>
    <n v="2"/>
    <n v="300000"/>
  </r>
  <r>
    <s v="KERJASAMA MITRA"/>
    <x v="4"/>
    <d v="2023-08-06T00:00:00"/>
    <x v="3"/>
    <n v="2"/>
    <n v="130000"/>
    <m/>
    <m/>
    <n v="2"/>
    <n v="260000"/>
  </r>
  <r>
    <s v="KERJASAMA MITRA"/>
    <x v="5"/>
    <d v="2023-08-06T00:00:00"/>
    <x v="3"/>
    <n v="4"/>
    <n v="130000"/>
    <m/>
    <m/>
    <n v="4"/>
    <n v="520000"/>
  </r>
  <r>
    <s v="KERJASAMA MITRA"/>
    <x v="6"/>
    <d v="2023-08-06T00:00:00"/>
    <x v="3"/>
    <n v="60"/>
    <n v="130000"/>
    <m/>
    <m/>
    <n v="60"/>
    <n v="7800000"/>
  </r>
  <r>
    <s v="KERJASAMA MITRA"/>
    <x v="7"/>
    <d v="2023-08-06T00:00:00"/>
    <x v="3"/>
    <n v="13"/>
    <n v="110000"/>
    <m/>
    <m/>
    <n v="13"/>
    <n v="1430000"/>
  </r>
  <r>
    <s v="WALK IN"/>
    <x v="0"/>
    <d v="2023-08-07T00:00:00"/>
    <x v="3"/>
    <n v="58"/>
    <n v="120000"/>
    <m/>
    <m/>
    <n v="58"/>
    <n v="6960100"/>
  </r>
  <r>
    <s v="WALK IN"/>
    <x v="1"/>
    <d v="2023-08-07T00:00:00"/>
    <x v="3"/>
    <n v="3"/>
    <n v="120000"/>
    <m/>
    <m/>
    <n v="3"/>
    <n v="360000"/>
  </r>
  <r>
    <s v="KERJASAMA MITRA"/>
    <x v="2"/>
    <d v="2023-08-07T00:00:00"/>
    <x v="3"/>
    <n v="1"/>
    <n v="150000"/>
    <m/>
    <m/>
    <n v="1"/>
    <n v="150000"/>
  </r>
  <r>
    <s v="KERJASAMA MITRA"/>
    <x v="3"/>
    <d v="2023-08-07T00:00:00"/>
    <x v="3"/>
    <n v="4"/>
    <n v="130000"/>
    <m/>
    <m/>
    <n v="4"/>
    <n v="520000"/>
  </r>
  <r>
    <s v="KERJASAMA MITRA"/>
    <x v="5"/>
    <d v="2023-08-07T00:00:00"/>
    <x v="3"/>
    <n v="11"/>
    <n v="130000"/>
    <m/>
    <m/>
    <n v="11"/>
    <n v="1430000"/>
  </r>
  <r>
    <s v="KERJASAMA MITRA"/>
    <x v="4"/>
    <d v="2023-08-07T00:00:00"/>
    <x v="3"/>
    <n v="4"/>
    <n v="130000"/>
    <m/>
    <m/>
    <n v="4"/>
    <n v="520000"/>
  </r>
  <r>
    <s v="KERJASAMA MITRA"/>
    <x v="6"/>
    <d v="2023-08-07T00:00:00"/>
    <x v="3"/>
    <n v="22"/>
    <n v="130000"/>
    <m/>
    <m/>
    <n v="22"/>
    <n v="2860000"/>
  </r>
  <r>
    <s v="WALK IN"/>
    <x v="0"/>
    <d v="2023-08-08T00:00:00"/>
    <x v="3"/>
    <n v="60"/>
    <n v="120000"/>
    <m/>
    <m/>
    <n v="60"/>
    <n v="7200000"/>
  </r>
  <r>
    <s v="WALK IN"/>
    <x v="1"/>
    <d v="2023-08-08T00:00:00"/>
    <x v="3"/>
    <n v="12"/>
    <n v="120000"/>
    <m/>
    <m/>
    <n v="12"/>
    <n v="1440000"/>
  </r>
  <r>
    <s v="KERJASAMA MITRA"/>
    <x v="2"/>
    <d v="2023-08-08T00:00:00"/>
    <x v="3"/>
    <n v="6"/>
    <n v="150000"/>
    <m/>
    <m/>
    <n v="6"/>
    <n v="900000"/>
  </r>
  <r>
    <s v="KERJASAMA MITRA"/>
    <x v="5"/>
    <d v="2023-08-08T00:00:00"/>
    <x v="3"/>
    <n v="2"/>
    <n v="130000"/>
    <m/>
    <m/>
    <n v="2"/>
    <n v="260000"/>
  </r>
  <r>
    <s v="KERJASAMA MITRA"/>
    <x v="4"/>
    <d v="2023-08-08T00:00:00"/>
    <x v="3"/>
    <n v="5"/>
    <n v="130000"/>
    <m/>
    <m/>
    <n v="5"/>
    <n v="650000"/>
  </r>
  <r>
    <s v="KERJASAMA MITRA"/>
    <x v="6"/>
    <d v="2023-08-08T00:00:00"/>
    <x v="3"/>
    <n v="41"/>
    <n v="130000"/>
    <m/>
    <m/>
    <n v="41"/>
    <n v="5330000"/>
  </r>
  <r>
    <s v="WALK IN"/>
    <x v="0"/>
    <d v="2023-08-09T00:00:00"/>
    <x v="3"/>
    <n v="59"/>
    <n v="120000"/>
    <m/>
    <m/>
    <n v="59"/>
    <n v="7080000"/>
  </r>
  <r>
    <s v="WALK IN"/>
    <x v="1"/>
    <d v="2023-08-09T00:00:00"/>
    <x v="3"/>
    <n v="7"/>
    <n v="120000"/>
    <m/>
    <m/>
    <n v="7"/>
    <n v="840000"/>
  </r>
  <r>
    <s v="KERJASAMA MITRA"/>
    <x v="2"/>
    <d v="2023-08-09T00:00:00"/>
    <x v="3"/>
    <n v="5"/>
    <n v="150000"/>
    <m/>
    <m/>
    <n v="5"/>
    <n v="750000"/>
  </r>
  <r>
    <s v="KERJASAMA MITRA"/>
    <x v="3"/>
    <d v="2023-08-09T00:00:00"/>
    <x v="3"/>
    <n v="3"/>
    <n v="130000"/>
    <m/>
    <m/>
    <n v="3"/>
    <n v="390000"/>
  </r>
  <r>
    <s v="KERJASAMA MITRA"/>
    <x v="4"/>
    <d v="2023-08-09T00:00:00"/>
    <x v="3"/>
    <n v="4"/>
    <n v="130000"/>
    <m/>
    <m/>
    <n v="4"/>
    <n v="520000"/>
  </r>
  <r>
    <s v="KERJASAMA MITRA"/>
    <x v="5"/>
    <d v="2023-08-09T00:00:00"/>
    <x v="3"/>
    <n v="3"/>
    <n v="130000"/>
    <m/>
    <m/>
    <n v="3"/>
    <n v="390000"/>
  </r>
  <r>
    <s v="KERJASAMA MITRA"/>
    <x v="6"/>
    <d v="2023-08-09T00:00:00"/>
    <x v="3"/>
    <n v="47"/>
    <n v="130000"/>
    <m/>
    <m/>
    <n v="47"/>
    <n v="6110000"/>
  </r>
  <r>
    <s v="WALK IN"/>
    <x v="0"/>
    <d v="2023-08-10T00:00:00"/>
    <x v="3"/>
    <n v="75"/>
    <n v="120000"/>
    <m/>
    <m/>
    <n v="75"/>
    <n v="9000000"/>
  </r>
  <r>
    <s v="WALK IN"/>
    <x v="1"/>
    <d v="2023-08-10T00:00:00"/>
    <x v="3"/>
    <n v="19"/>
    <n v="120000"/>
    <m/>
    <m/>
    <n v="19"/>
    <n v="2280000"/>
  </r>
  <r>
    <s v="KERJASAMA MITRA"/>
    <x v="2"/>
    <d v="2023-08-10T00:00:00"/>
    <x v="3"/>
    <n v="2"/>
    <n v="150000"/>
    <m/>
    <m/>
    <n v="2"/>
    <n v="300000"/>
  </r>
  <r>
    <s v="KERJASAMA MITRA"/>
    <x v="5"/>
    <d v="2023-08-10T00:00:00"/>
    <x v="3"/>
    <n v="5"/>
    <n v="130000"/>
    <m/>
    <m/>
    <n v="5"/>
    <n v="650000"/>
  </r>
  <r>
    <s v="KERJASAMA MITRA"/>
    <x v="4"/>
    <d v="2023-08-10T00:00:00"/>
    <x v="3"/>
    <n v="6"/>
    <n v="130000"/>
    <m/>
    <m/>
    <n v="6"/>
    <n v="780000"/>
  </r>
  <r>
    <s v="KERJASAMA MITRA"/>
    <x v="6"/>
    <d v="2023-08-10T00:00:00"/>
    <x v="3"/>
    <n v="48"/>
    <n v="130000"/>
    <m/>
    <m/>
    <n v="48"/>
    <n v="6240000"/>
  </r>
  <r>
    <s v="WALK IN"/>
    <x v="0"/>
    <d v="2023-08-11T00:00:00"/>
    <x v="3"/>
    <n v="60"/>
    <n v="120000"/>
    <m/>
    <m/>
    <n v="60"/>
    <n v="7200000"/>
  </r>
  <r>
    <s v="WALK IN"/>
    <x v="1"/>
    <d v="2023-08-11T00:00:00"/>
    <x v="3"/>
    <n v="10"/>
    <n v="120000"/>
    <m/>
    <m/>
    <n v="10"/>
    <n v="1200000"/>
  </r>
  <r>
    <s v="KERJASAMA MITRA"/>
    <x v="2"/>
    <d v="2023-08-11T00:00:00"/>
    <x v="3"/>
    <n v="2"/>
    <n v="150000"/>
    <m/>
    <m/>
    <n v="2"/>
    <n v="300000"/>
  </r>
  <r>
    <s v="KERJASAMA MITRA"/>
    <x v="5"/>
    <d v="2023-08-11T00:00:00"/>
    <x v="3"/>
    <n v="4"/>
    <n v="130000"/>
    <m/>
    <m/>
    <n v="4"/>
    <n v="520000"/>
  </r>
  <r>
    <s v="KERJASAMA MITRA"/>
    <x v="4"/>
    <d v="2023-08-11T00:00:00"/>
    <x v="3"/>
    <n v="11"/>
    <n v="130000"/>
    <m/>
    <m/>
    <n v="11"/>
    <n v="1430000"/>
  </r>
  <r>
    <s v="KERJASAMA MITRA"/>
    <x v="6"/>
    <d v="2023-08-11T00:00:00"/>
    <x v="3"/>
    <n v="68"/>
    <n v="130000"/>
    <m/>
    <m/>
    <n v="68"/>
    <n v="8840000"/>
  </r>
  <r>
    <s v="KERJASAMA MITRA"/>
    <x v="7"/>
    <d v="2023-08-11T00:00:00"/>
    <x v="3"/>
    <n v="17"/>
    <n v="110000"/>
    <m/>
    <m/>
    <n v="17"/>
    <n v="1870000"/>
  </r>
  <r>
    <s v="WALK IN"/>
    <x v="0"/>
    <d v="2023-08-12T00:00:00"/>
    <x v="3"/>
    <n v="74"/>
    <n v="120000"/>
    <m/>
    <m/>
    <n v="74"/>
    <n v="8900000"/>
  </r>
  <r>
    <s v="WALK IN"/>
    <x v="1"/>
    <d v="2023-08-12T00:00:00"/>
    <x v="3"/>
    <n v="4"/>
    <n v="120000"/>
    <m/>
    <m/>
    <n v="4"/>
    <n v="480000"/>
  </r>
  <r>
    <s v="KERJASAMA MITRA"/>
    <x v="2"/>
    <d v="2023-08-12T00:00:00"/>
    <x v="3"/>
    <n v="9"/>
    <n v="150000"/>
    <m/>
    <m/>
    <n v="9"/>
    <n v="1350000"/>
  </r>
  <r>
    <s v="KERJASAMA MITRA"/>
    <x v="5"/>
    <d v="2023-08-12T00:00:00"/>
    <x v="3"/>
    <n v="4"/>
    <n v="130000"/>
    <m/>
    <m/>
    <n v="4"/>
    <n v="520000"/>
  </r>
  <r>
    <s v="KERJASAMA MITRA"/>
    <x v="4"/>
    <d v="2023-08-12T00:00:00"/>
    <x v="3"/>
    <n v="14"/>
    <n v="130000"/>
    <m/>
    <m/>
    <n v="14"/>
    <n v="1820000"/>
  </r>
  <r>
    <s v="KERJASAMA MITRA"/>
    <x v="6"/>
    <d v="2023-08-12T00:00:00"/>
    <x v="3"/>
    <n v="60"/>
    <n v="130000"/>
    <m/>
    <m/>
    <n v="60"/>
    <n v="7800000"/>
  </r>
  <r>
    <s v="WALK IN"/>
    <x v="0"/>
    <d v="2023-08-13T00:00:00"/>
    <x v="3"/>
    <n v="39"/>
    <n v="99600"/>
    <m/>
    <m/>
    <n v="39"/>
    <n v="3884400"/>
  </r>
  <r>
    <s v="WALK IN"/>
    <x v="1"/>
    <d v="2023-08-13T00:00:00"/>
    <x v="3"/>
    <n v="8"/>
    <n v="99600"/>
    <m/>
    <m/>
    <n v="8"/>
    <n v="796800"/>
  </r>
  <r>
    <s v="KERJASAMA MITRA"/>
    <x v="2"/>
    <d v="2023-08-13T00:00:00"/>
    <x v="3"/>
    <n v="6"/>
    <n v="150000"/>
    <m/>
    <m/>
    <n v="6"/>
    <n v="900000"/>
  </r>
  <r>
    <s v="KERJASAMA MITRA"/>
    <x v="3"/>
    <d v="2023-08-13T00:00:00"/>
    <x v="3"/>
    <n v="4"/>
    <n v="130000"/>
    <m/>
    <m/>
    <n v="4"/>
    <n v="520000"/>
  </r>
  <r>
    <s v="KERJASAMA MITRA"/>
    <x v="5"/>
    <d v="2023-08-13T00:00:00"/>
    <x v="3"/>
    <n v="6"/>
    <n v="130000"/>
    <m/>
    <m/>
    <n v="6"/>
    <n v="780000"/>
  </r>
  <r>
    <s v="KERJASAMA MITRA"/>
    <x v="4"/>
    <d v="2023-08-13T00:00:00"/>
    <x v="3"/>
    <n v="5"/>
    <n v="130000"/>
    <m/>
    <m/>
    <n v="5"/>
    <n v="650000"/>
  </r>
  <r>
    <s v="KERJASAMA MITRA"/>
    <x v="6"/>
    <d v="2023-08-13T00:00:00"/>
    <x v="3"/>
    <n v="71"/>
    <n v="130000"/>
    <m/>
    <m/>
    <n v="71"/>
    <n v="9230000"/>
  </r>
  <r>
    <s v="KERJASAMA MITRA"/>
    <x v="7"/>
    <d v="2023-08-13T00:00:00"/>
    <x v="3"/>
    <n v="2"/>
    <n v="110000"/>
    <m/>
    <m/>
    <n v="2"/>
    <n v="220000"/>
  </r>
  <r>
    <s v="WALK IN"/>
    <x v="0"/>
    <d v="2023-08-14T00:00:00"/>
    <x v="3"/>
    <n v="48"/>
    <n v="99600"/>
    <m/>
    <m/>
    <n v="48"/>
    <n v="4780800"/>
  </r>
  <r>
    <s v="WALK IN"/>
    <x v="1"/>
    <d v="2023-08-14T00:00:00"/>
    <x v="3"/>
    <n v="12"/>
    <n v="99600"/>
    <m/>
    <m/>
    <n v="12"/>
    <n v="1195200"/>
  </r>
  <r>
    <s v="KERJASAMA MITRA"/>
    <x v="2"/>
    <d v="2023-08-14T00:00:00"/>
    <x v="3"/>
    <n v="4"/>
    <n v="150000"/>
    <m/>
    <m/>
    <n v="4"/>
    <n v="600000"/>
  </r>
  <r>
    <s v="KERJASAMA MITRA"/>
    <x v="4"/>
    <d v="2023-08-14T00:00:00"/>
    <x v="3"/>
    <n v="4"/>
    <n v="130000"/>
    <m/>
    <m/>
    <n v="4"/>
    <n v="520000"/>
  </r>
  <r>
    <s v="KERJASAMA MITRA"/>
    <x v="5"/>
    <d v="2023-08-14T00:00:00"/>
    <x v="3"/>
    <n v="1"/>
    <n v="130000"/>
    <m/>
    <m/>
    <n v="1"/>
    <n v="130000"/>
  </r>
  <r>
    <s v="KERJASAMA MITRA"/>
    <x v="6"/>
    <d v="2023-08-14T00:00:00"/>
    <x v="3"/>
    <n v="62"/>
    <n v="130000"/>
    <m/>
    <m/>
    <n v="62"/>
    <n v="8060000"/>
  </r>
  <r>
    <s v="WALK IN"/>
    <x v="0"/>
    <d v="2023-08-15T00:00:00"/>
    <x v="3"/>
    <n v="68"/>
    <n v="99600"/>
    <m/>
    <m/>
    <n v="68"/>
    <n v="6772800"/>
  </r>
  <r>
    <s v="WALK IN"/>
    <x v="1"/>
    <d v="2023-08-15T00:00:00"/>
    <x v="3"/>
    <n v="33"/>
    <n v="99600"/>
    <m/>
    <m/>
    <n v="33"/>
    <n v="3286800"/>
  </r>
  <r>
    <s v="KERJASAMA MITRA"/>
    <x v="2"/>
    <d v="2023-08-15T00:00:00"/>
    <x v="3"/>
    <n v="7"/>
    <n v="150000"/>
    <m/>
    <m/>
    <n v="7"/>
    <n v="1050000"/>
  </r>
  <r>
    <s v="KERJASAMA MITRA"/>
    <x v="3"/>
    <d v="2023-08-15T00:00:00"/>
    <x v="3"/>
    <n v="9"/>
    <n v="130000"/>
    <m/>
    <m/>
    <n v="9"/>
    <n v="1170000"/>
  </r>
  <r>
    <s v="KERJASAMA MITRA"/>
    <x v="5"/>
    <d v="2023-08-15T00:00:00"/>
    <x v="3"/>
    <n v="7"/>
    <n v="130000"/>
    <m/>
    <m/>
    <n v="7"/>
    <n v="910000"/>
  </r>
  <r>
    <s v="KERJASAMA MITRA"/>
    <x v="4"/>
    <d v="2023-08-15T00:00:00"/>
    <x v="3"/>
    <n v="6"/>
    <n v="130000"/>
    <m/>
    <m/>
    <n v="6"/>
    <n v="780000"/>
  </r>
  <r>
    <s v="KERJASAMA MITRA"/>
    <x v="6"/>
    <d v="2023-08-15T00:00:00"/>
    <x v="3"/>
    <n v="37"/>
    <n v="130000"/>
    <m/>
    <m/>
    <n v="37"/>
    <n v="4810000"/>
  </r>
  <r>
    <s v="WALK IN"/>
    <x v="0"/>
    <d v="2023-08-16T00:00:00"/>
    <x v="3"/>
    <n v="96"/>
    <n v="99600"/>
    <m/>
    <m/>
    <n v="96"/>
    <n v="9561600"/>
  </r>
  <r>
    <s v="WALK IN"/>
    <x v="1"/>
    <d v="2023-08-16T00:00:00"/>
    <x v="3"/>
    <n v="42"/>
    <n v="99600"/>
    <m/>
    <m/>
    <n v="42"/>
    <n v="4183200"/>
  </r>
  <r>
    <s v="KERJASAMA MITRA"/>
    <x v="2"/>
    <d v="2023-08-16T00:00:00"/>
    <x v="3"/>
    <n v="2"/>
    <n v="150000"/>
    <m/>
    <m/>
    <n v="2"/>
    <n v="300000"/>
  </r>
  <r>
    <s v="KERJASAMA MITRA"/>
    <x v="3"/>
    <d v="2023-08-16T00:00:00"/>
    <x v="3"/>
    <n v="8"/>
    <n v="130000"/>
    <m/>
    <m/>
    <n v="8"/>
    <n v="1040000"/>
  </r>
  <r>
    <s v="KERJASAMA MITRA"/>
    <x v="4"/>
    <d v="2023-08-16T00:00:00"/>
    <x v="3"/>
    <n v="22"/>
    <n v="130000"/>
    <m/>
    <m/>
    <n v="22"/>
    <n v="2860000"/>
  </r>
  <r>
    <s v="KERJASAMA MITRA"/>
    <x v="5"/>
    <d v="2023-08-16T00:00:00"/>
    <x v="3"/>
    <n v="10"/>
    <n v="130000"/>
    <m/>
    <m/>
    <n v="10"/>
    <n v="1300000"/>
  </r>
  <r>
    <s v="KERJASAMA MITRA"/>
    <x v="6"/>
    <d v="2023-08-16T00:00:00"/>
    <x v="3"/>
    <n v="58"/>
    <n v="130000"/>
    <m/>
    <m/>
    <n v="58"/>
    <n v="7540000"/>
  </r>
  <r>
    <s v="WALK IN"/>
    <x v="0"/>
    <d v="2023-08-17T00:00:00"/>
    <x v="3"/>
    <n v="122"/>
    <n v="99600"/>
    <m/>
    <m/>
    <n v="122"/>
    <n v="12151200"/>
  </r>
  <r>
    <s v="WALK IN"/>
    <x v="1"/>
    <d v="2023-08-17T00:00:00"/>
    <x v="3"/>
    <n v="21"/>
    <n v="99600"/>
    <m/>
    <m/>
    <n v="21"/>
    <n v="2091600"/>
  </r>
  <r>
    <s v="KERJASAMA MITRA"/>
    <x v="2"/>
    <d v="2023-08-17T00:00:00"/>
    <x v="3"/>
    <n v="1"/>
    <n v="150000"/>
    <m/>
    <m/>
    <n v="1"/>
    <n v="150000"/>
  </r>
  <r>
    <s v="KERJASAMA MITRA"/>
    <x v="3"/>
    <d v="2023-08-17T00:00:00"/>
    <x v="3"/>
    <n v="6"/>
    <n v="130000"/>
    <m/>
    <m/>
    <n v="6"/>
    <n v="780000"/>
  </r>
  <r>
    <s v="KERJASAMA MITRA"/>
    <x v="4"/>
    <d v="2023-08-17T00:00:00"/>
    <x v="3"/>
    <n v="7"/>
    <n v="130000"/>
    <m/>
    <m/>
    <n v="7"/>
    <n v="910000"/>
  </r>
  <r>
    <s v="KERJASAMA MITRA"/>
    <x v="5"/>
    <d v="2023-08-17T00:00:00"/>
    <x v="3"/>
    <n v="8"/>
    <n v="130000"/>
    <m/>
    <m/>
    <n v="8"/>
    <n v="1040000"/>
  </r>
  <r>
    <s v="KERJASAMA MITRA"/>
    <x v="6"/>
    <d v="2023-08-17T00:00:00"/>
    <x v="3"/>
    <n v="51"/>
    <n v="130000"/>
    <m/>
    <m/>
    <n v="51"/>
    <n v="6630000"/>
  </r>
  <r>
    <s v="KERJASAMA MITRA"/>
    <x v="7"/>
    <d v="2023-08-17T00:00:00"/>
    <x v="3"/>
    <n v="8"/>
    <n v="110000"/>
    <m/>
    <m/>
    <n v="8"/>
    <n v="880000"/>
  </r>
  <r>
    <s v="WALK IN"/>
    <x v="0"/>
    <d v="2023-08-18T00:00:00"/>
    <x v="3"/>
    <n v="89"/>
    <n v="99600"/>
    <m/>
    <m/>
    <n v="89"/>
    <n v="8864400"/>
  </r>
  <r>
    <s v="WALK IN"/>
    <x v="1"/>
    <d v="2023-08-18T00:00:00"/>
    <x v="3"/>
    <n v="17"/>
    <n v="99600"/>
    <m/>
    <m/>
    <n v="17"/>
    <n v="1693200"/>
  </r>
  <r>
    <s v="KERJASAMA MITRA"/>
    <x v="2"/>
    <d v="2023-08-18T00:00:00"/>
    <x v="3"/>
    <n v="3"/>
    <n v="150000"/>
    <m/>
    <m/>
    <n v="3"/>
    <n v="450000"/>
  </r>
  <r>
    <s v="KERJASAMA MITRA"/>
    <x v="3"/>
    <d v="2023-08-18T00:00:00"/>
    <x v="3"/>
    <n v="3"/>
    <n v="130000"/>
    <m/>
    <m/>
    <n v="3"/>
    <n v="390000"/>
  </r>
  <r>
    <s v="KERJASAMA MITRA"/>
    <x v="4"/>
    <d v="2023-08-18T00:00:00"/>
    <x v="3"/>
    <n v="3"/>
    <n v="130000"/>
    <m/>
    <m/>
    <n v="3"/>
    <n v="390000"/>
  </r>
  <r>
    <s v="KERJASAMA MITRA"/>
    <x v="5"/>
    <d v="2023-08-18T00:00:00"/>
    <x v="3"/>
    <n v="5"/>
    <n v="130000"/>
    <m/>
    <m/>
    <n v="5"/>
    <n v="650000"/>
  </r>
  <r>
    <s v="KERJASAMA MITRA"/>
    <x v="6"/>
    <d v="2023-08-18T00:00:00"/>
    <x v="3"/>
    <n v="63"/>
    <n v="130000"/>
    <m/>
    <m/>
    <n v="63"/>
    <n v="8190000"/>
  </r>
  <r>
    <s v="WALK IN"/>
    <x v="0"/>
    <d v="2023-08-19T00:00:00"/>
    <x v="3"/>
    <n v="58"/>
    <n v="120000"/>
    <m/>
    <m/>
    <n v="58"/>
    <n v="7000000"/>
  </r>
  <r>
    <s v="WALK IN"/>
    <x v="1"/>
    <d v="2023-08-19T00:00:00"/>
    <x v="3"/>
    <n v="5"/>
    <n v="120000"/>
    <m/>
    <m/>
    <n v="5"/>
    <n v="600000"/>
  </r>
  <r>
    <s v="KERJASAMA MITRA"/>
    <x v="3"/>
    <d v="2023-08-19T00:00:00"/>
    <x v="3"/>
    <n v="7"/>
    <n v="130000"/>
    <m/>
    <m/>
    <n v="7"/>
    <n v="910000"/>
  </r>
  <r>
    <s v="KERJASAMA MITRA"/>
    <x v="4"/>
    <d v="2023-08-19T00:00:00"/>
    <x v="3"/>
    <n v="10"/>
    <n v="130000"/>
    <m/>
    <m/>
    <n v="10"/>
    <n v="1300000"/>
  </r>
  <r>
    <s v="KERJASAMA MITRA"/>
    <x v="5"/>
    <d v="2023-08-19T00:00:00"/>
    <x v="3"/>
    <n v="3"/>
    <n v="130000"/>
    <m/>
    <m/>
    <n v="3"/>
    <n v="390000"/>
  </r>
  <r>
    <s v="KERJASAMA MITRA"/>
    <x v="6"/>
    <d v="2023-08-19T00:00:00"/>
    <x v="3"/>
    <n v="54"/>
    <n v="130000"/>
    <m/>
    <m/>
    <n v="54"/>
    <n v="7020000"/>
  </r>
  <r>
    <s v="WALK IN"/>
    <x v="0"/>
    <d v="2023-08-20T00:00:00"/>
    <x v="3"/>
    <n v="99"/>
    <n v="120000"/>
    <m/>
    <m/>
    <n v="99"/>
    <n v="11880000"/>
  </r>
  <r>
    <s v="WALK IN"/>
    <x v="1"/>
    <d v="2023-08-20T00:00:00"/>
    <x v="3"/>
    <n v="6"/>
    <n v="120000"/>
    <m/>
    <m/>
    <n v="6"/>
    <n v="720000"/>
  </r>
  <r>
    <s v="KERJASAMA MITRA"/>
    <x v="2"/>
    <d v="2023-08-20T00:00:00"/>
    <x v="3"/>
    <n v="4"/>
    <n v="150000"/>
    <m/>
    <m/>
    <n v="4"/>
    <n v="600000"/>
  </r>
  <r>
    <s v="KERJASAMA MITRA"/>
    <x v="4"/>
    <d v="2023-08-20T00:00:00"/>
    <x v="3"/>
    <n v="9"/>
    <n v="130000"/>
    <m/>
    <m/>
    <n v="9"/>
    <n v="1170000"/>
  </r>
  <r>
    <s v="KERJASAMA MITRA"/>
    <x v="5"/>
    <d v="2023-08-20T00:00:00"/>
    <x v="3"/>
    <n v="2"/>
    <n v="130000"/>
    <m/>
    <m/>
    <n v="2"/>
    <n v="260000"/>
  </r>
  <r>
    <s v="KERJASAMA MITRA"/>
    <x v="6"/>
    <d v="2023-08-20T00:00:00"/>
    <x v="3"/>
    <n v="85"/>
    <n v="130000"/>
    <m/>
    <m/>
    <n v="85"/>
    <n v="11050000"/>
  </r>
  <r>
    <s v="WALK IN"/>
    <x v="0"/>
    <d v="2023-08-21T00:00:00"/>
    <x v="3"/>
    <n v="62"/>
    <n v="120000"/>
    <m/>
    <m/>
    <n v="62"/>
    <n v="7440000"/>
  </r>
  <r>
    <s v="WALK IN"/>
    <x v="8"/>
    <d v="2023-08-21T00:00:00"/>
    <x v="3"/>
    <n v="1"/>
    <n v="1000000"/>
    <m/>
    <m/>
    <n v="1"/>
    <n v="1000000"/>
  </r>
  <r>
    <s v="KERJASAMA MITRA"/>
    <x v="2"/>
    <d v="2023-08-21T00:00:00"/>
    <x v="3"/>
    <n v="4"/>
    <n v="150000"/>
    <m/>
    <m/>
    <n v="4"/>
    <n v="600000"/>
  </r>
  <r>
    <s v="KERJASAMA MITRA"/>
    <x v="4"/>
    <d v="2023-08-21T00:00:00"/>
    <x v="3"/>
    <n v="10"/>
    <n v="130000"/>
    <m/>
    <m/>
    <n v="10"/>
    <n v="1300000"/>
  </r>
  <r>
    <s v="KERJASAMA MITRA"/>
    <x v="5"/>
    <d v="2023-08-21T00:00:00"/>
    <x v="3"/>
    <n v="9"/>
    <n v="130000"/>
    <m/>
    <m/>
    <n v="9"/>
    <n v="1170000"/>
  </r>
  <r>
    <s v="KERJASAMA MITRA"/>
    <x v="6"/>
    <d v="2023-08-21T00:00:00"/>
    <x v="3"/>
    <n v="33"/>
    <n v="130000"/>
    <m/>
    <m/>
    <n v="33"/>
    <n v="4290000"/>
  </r>
  <r>
    <s v="WALK IN"/>
    <x v="0"/>
    <d v="2023-08-22T00:00:00"/>
    <x v="3"/>
    <n v="41"/>
    <n v="120000"/>
    <m/>
    <m/>
    <n v="41"/>
    <n v="4920000"/>
  </r>
  <r>
    <s v="WALK IN"/>
    <x v="8"/>
    <d v="2023-08-22T00:00:00"/>
    <x v="3"/>
    <n v="1"/>
    <n v="1000000"/>
    <m/>
    <m/>
    <n v="1"/>
    <n v="1000000"/>
  </r>
  <r>
    <s v="WALK IN"/>
    <x v="1"/>
    <d v="2023-08-22T00:00:00"/>
    <x v="3"/>
    <n v="8"/>
    <n v="120000"/>
    <m/>
    <m/>
    <n v="8"/>
    <n v="960000"/>
  </r>
  <r>
    <s v="KERJASAMA MITRA"/>
    <x v="2"/>
    <d v="2023-08-22T00:00:00"/>
    <x v="3"/>
    <n v="5"/>
    <n v="150000"/>
    <m/>
    <m/>
    <n v="5"/>
    <n v="750000"/>
  </r>
  <r>
    <s v="KERJASAMA MITRA"/>
    <x v="3"/>
    <d v="2023-08-22T00:00:00"/>
    <x v="3"/>
    <n v="2"/>
    <n v="130000"/>
    <m/>
    <m/>
    <n v="2"/>
    <n v="260000"/>
  </r>
  <r>
    <s v="KERJASAMA MITRA"/>
    <x v="4"/>
    <d v="2023-08-22T00:00:00"/>
    <x v="3"/>
    <n v="21"/>
    <n v="130000"/>
    <m/>
    <m/>
    <n v="21"/>
    <n v="2730000"/>
  </r>
  <r>
    <s v="KERJASAMA MITRA"/>
    <x v="5"/>
    <d v="2023-08-22T00:00:00"/>
    <x v="3"/>
    <n v="7"/>
    <n v="130000"/>
    <m/>
    <m/>
    <n v="7"/>
    <n v="910000"/>
  </r>
  <r>
    <s v="KERJASAMA MITRA"/>
    <x v="6"/>
    <d v="2023-08-22T00:00:00"/>
    <x v="3"/>
    <n v="41"/>
    <n v="130000"/>
    <m/>
    <m/>
    <n v="41"/>
    <n v="5330000"/>
  </r>
  <r>
    <s v="WALK IN"/>
    <x v="0"/>
    <d v="2023-08-23T00:00:00"/>
    <x v="3"/>
    <n v="105"/>
    <n v="120000"/>
    <m/>
    <m/>
    <n v="105"/>
    <n v="12600000"/>
  </r>
  <r>
    <s v="WALK IN"/>
    <x v="1"/>
    <d v="2023-08-23T00:00:00"/>
    <x v="3"/>
    <n v="3"/>
    <n v="120000"/>
    <m/>
    <m/>
    <n v="3"/>
    <n v="360000"/>
  </r>
  <r>
    <s v="WALK IN"/>
    <x v="8"/>
    <d v="2023-08-23T00:00:00"/>
    <x v="3"/>
    <n v="1"/>
    <n v="500000"/>
    <m/>
    <m/>
    <n v="1"/>
    <n v="500000"/>
  </r>
  <r>
    <s v="KERJASAMA MITRA"/>
    <x v="2"/>
    <d v="2023-08-23T00:00:00"/>
    <x v="3"/>
    <n v="7"/>
    <n v="150000"/>
    <m/>
    <m/>
    <n v="7"/>
    <n v="1050000"/>
  </r>
  <r>
    <s v="KERJASAMA MITRA"/>
    <x v="4"/>
    <d v="2023-08-23T00:00:00"/>
    <x v="3"/>
    <n v="10"/>
    <n v="130000"/>
    <m/>
    <m/>
    <n v="10"/>
    <n v="1300000"/>
  </r>
  <r>
    <s v="KERJASAMA MITRA"/>
    <x v="5"/>
    <d v="2023-08-23T00:00:00"/>
    <x v="3"/>
    <n v="8"/>
    <n v="130000"/>
    <m/>
    <m/>
    <n v="8"/>
    <n v="1040000"/>
  </r>
  <r>
    <s v="KERJASAMA MITRA"/>
    <x v="6"/>
    <d v="2023-08-23T00:00:00"/>
    <x v="3"/>
    <n v="58"/>
    <n v="130000"/>
    <m/>
    <m/>
    <n v="58"/>
    <n v="7540000"/>
  </r>
  <r>
    <s v="WALK IN"/>
    <x v="0"/>
    <d v="2023-08-24T00:00:00"/>
    <x v="3"/>
    <n v="79"/>
    <n v="120000"/>
    <m/>
    <m/>
    <n v="79"/>
    <n v="9480000"/>
  </r>
  <r>
    <s v="WALK IN"/>
    <x v="1"/>
    <d v="2023-08-24T00:00:00"/>
    <x v="3"/>
    <n v="2"/>
    <n v="120000"/>
    <m/>
    <m/>
    <n v="2"/>
    <n v="240000"/>
  </r>
  <r>
    <s v="WALK IN"/>
    <x v="8"/>
    <d v="2023-08-24T00:00:00"/>
    <x v="3"/>
    <n v="1"/>
    <n v="500000"/>
    <m/>
    <m/>
    <n v="1"/>
    <n v="500000"/>
  </r>
  <r>
    <s v="UMROH"/>
    <x v="0"/>
    <d v="2023-08-24T00:00:00"/>
    <x v="3"/>
    <n v="21"/>
    <n v="110000"/>
    <m/>
    <m/>
    <n v="21"/>
    <n v="2310000"/>
  </r>
  <r>
    <s v="KERJASAMA MITRA"/>
    <x v="2"/>
    <d v="2023-08-24T00:00:00"/>
    <x v="3"/>
    <n v="4"/>
    <n v="150000"/>
    <m/>
    <m/>
    <n v="4"/>
    <n v="600000"/>
  </r>
  <r>
    <s v="KERJASAMA MITRA"/>
    <x v="3"/>
    <d v="2023-08-24T00:00:00"/>
    <x v="3"/>
    <n v="1"/>
    <n v="130000"/>
    <m/>
    <m/>
    <n v="1"/>
    <n v="130000"/>
  </r>
  <r>
    <s v="KERJASAMA MITRA"/>
    <x v="4"/>
    <d v="2023-08-24T00:00:00"/>
    <x v="3"/>
    <n v="11"/>
    <n v="130000"/>
    <m/>
    <m/>
    <n v="11"/>
    <n v="1430000"/>
  </r>
  <r>
    <s v="KERJASAMA MITRA"/>
    <x v="5"/>
    <d v="2023-08-24T00:00:00"/>
    <x v="3"/>
    <n v="3"/>
    <n v="130000"/>
    <m/>
    <m/>
    <n v="3"/>
    <n v="390000"/>
  </r>
  <r>
    <s v="KERJASAMA MITRA"/>
    <x v="6"/>
    <d v="2023-08-24T00:00:00"/>
    <x v="3"/>
    <n v="84"/>
    <n v="130000"/>
    <m/>
    <m/>
    <n v="84"/>
    <n v="10920000"/>
  </r>
  <r>
    <s v="WALK IN"/>
    <x v="0"/>
    <d v="2023-08-25T00:00:00"/>
    <x v="3"/>
    <n v="107"/>
    <n v="120000"/>
    <m/>
    <m/>
    <n v="107"/>
    <n v="12840000"/>
  </r>
  <r>
    <s v="WALK IN"/>
    <x v="1"/>
    <d v="2023-08-25T00:00:00"/>
    <x v="3"/>
    <n v="4"/>
    <n v="120000"/>
    <m/>
    <m/>
    <n v="4"/>
    <n v="480000"/>
  </r>
  <r>
    <s v="WALK IN"/>
    <x v="8"/>
    <d v="2023-08-25T00:00:00"/>
    <x v="3"/>
    <n v="1"/>
    <n v="500000"/>
    <m/>
    <m/>
    <n v="1"/>
    <n v="500000"/>
  </r>
  <r>
    <s v="KERJASAMA MITRA"/>
    <x v="2"/>
    <d v="2023-08-25T00:00:00"/>
    <x v="3"/>
    <n v="6"/>
    <n v="150000"/>
    <m/>
    <m/>
    <n v="6"/>
    <n v="900000"/>
  </r>
  <r>
    <s v="KERJASAMA MITRA"/>
    <x v="4"/>
    <d v="2023-08-25T00:00:00"/>
    <x v="3"/>
    <n v="10"/>
    <n v="130000"/>
    <m/>
    <m/>
    <n v="10"/>
    <n v="1300000"/>
  </r>
  <r>
    <s v="KERJASAMA MITRA"/>
    <x v="5"/>
    <d v="2023-08-25T00:00:00"/>
    <x v="3"/>
    <n v="2"/>
    <n v="130000"/>
    <m/>
    <m/>
    <n v="2"/>
    <n v="260000"/>
  </r>
  <r>
    <s v="KERJASAMA MITRA"/>
    <x v="6"/>
    <d v="2023-08-25T00:00:00"/>
    <x v="3"/>
    <n v="71"/>
    <n v="130000"/>
    <m/>
    <m/>
    <n v="71"/>
    <n v="9230000"/>
  </r>
  <r>
    <s v="WALK IN"/>
    <x v="0"/>
    <d v="2023-08-26T00:00:00"/>
    <x v="3"/>
    <n v="65"/>
    <n v="120000"/>
    <m/>
    <m/>
    <n v="65"/>
    <n v="7800000"/>
  </r>
  <r>
    <s v="WALK IN"/>
    <x v="1"/>
    <d v="2023-08-26T00:00:00"/>
    <x v="3"/>
    <n v="22"/>
    <n v="120000"/>
    <m/>
    <m/>
    <n v="22"/>
    <n v="2640000"/>
  </r>
  <r>
    <s v="KERJASAMA MITRA"/>
    <x v="2"/>
    <d v="2023-08-26T00:00:00"/>
    <x v="3"/>
    <n v="8"/>
    <n v="150000"/>
    <m/>
    <m/>
    <n v="8"/>
    <n v="1200000"/>
  </r>
  <r>
    <s v="KERJASAMA MITRA"/>
    <x v="4"/>
    <d v="2023-08-26T00:00:00"/>
    <x v="3"/>
    <n v="5"/>
    <n v="130000"/>
    <m/>
    <m/>
    <n v="5"/>
    <n v="650000"/>
  </r>
  <r>
    <s v="KERJASAMA MITRA"/>
    <x v="6"/>
    <d v="2023-08-26T00:00:00"/>
    <x v="3"/>
    <n v="41"/>
    <n v="130000"/>
    <m/>
    <m/>
    <n v="41"/>
    <n v="5330000"/>
  </r>
  <r>
    <s v="WALK IN"/>
    <x v="0"/>
    <d v="2023-08-27T00:00:00"/>
    <x v="3"/>
    <n v="107"/>
    <n v="120000"/>
    <m/>
    <m/>
    <n v="107"/>
    <n v="12840000"/>
  </r>
  <r>
    <s v="WALK IN"/>
    <x v="1"/>
    <d v="2023-08-27T00:00:00"/>
    <x v="3"/>
    <n v="4"/>
    <n v="120000"/>
    <m/>
    <m/>
    <n v="4"/>
    <n v="480000"/>
  </r>
  <r>
    <s v="KERJASAMA MITRA"/>
    <x v="2"/>
    <d v="2023-08-27T00:00:00"/>
    <x v="3"/>
    <n v="9"/>
    <n v="150000"/>
    <m/>
    <m/>
    <n v="9"/>
    <n v="1350000"/>
  </r>
  <r>
    <s v="KERJASAMA MITRA"/>
    <x v="4"/>
    <d v="2023-08-27T00:00:00"/>
    <x v="3"/>
    <n v="9"/>
    <n v="130000"/>
    <m/>
    <m/>
    <n v="9"/>
    <n v="1170000"/>
  </r>
  <r>
    <s v="KERJASAMA MITRA"/>
    <x v="5"/>
    <d v="2023-08-27T00:00:00"/>
    <x v="3"/>
    <n v="5"/>
    <n v="130000"/>
    <m/>
    <m/>
    <n v="5"/>
    <n v="650000"/>
  </r>
  <r>
    <s v="KERJASAMA MITRA"/>
    <x v="6"/>
    <d v="2023-08-27T00:00:00"/>
    <x v="3"/>
    <n v="89"/>
    <n v="130000"/>
    <m/>
    <m/>
    <n v="89"/>
    <n v="11570000"/>
  </r>
  <r>
    <s v="WALK IN"/>
    <x v="0"/>
    <d v="2023-08-28T00:00:00"/>
    <x v="3"/>
    <n v="37"/>
    <n v="120000"/>
    <m/>
    <m/>
    <n v="37"/>
    <n v="4440000"/>
  </r>
  <r>
    <s v="WALK IN"/>
    <x v="1"/>
    <d v="2023-08-28T00:00:00"/>
    <x v="3"/>
    <n v="6"/>
    <n v="120000"/>
    <m/>
    <m/>
    <n v="6"/>
    <n v="720000"/>
  </r>
  <r>
    <s v="WALK IN"/>
    <x v="8"/>
    <d v="2023-08-28T00:00:00"/>
    <x v="3"/>
    <n v="1"/>
    <n v="500000"/>
    <m/>
    <m/>
    <n v="1"/>
    <n v="500000"/>
  </r>
  <r>
    <s v="KERJASAMA MITRA"/>
    <x v="2"/>
    <d v="2023-08-28T00:00:00"/>
    <x v="3"/>
    <n v="6"/>
    <n v="150000"/>
    <m/>
    <m/>
    <n v="6"/>
    <n v="900000"/>
  </r>
  <r>
    <s v="KERJASAMA MITRA"/>
    <x v="4"/>
    <d v="2023-08-28T00:00:00"/>
    <x v="3"/>
    <n v="9"/>
    <n v="130000"/>
    <m/>
    <m/>
    <n v="9"/>
    <n v="1170000"/>
  </r>
  <r>
    <s v="KERJASAMA MITRA"/>
    <x v="5"/>
    <d v="2023-08-28T00:00:00"/>
    <x v="3"/>
    <n v="2"/>
    <n v="130000"/>
    <m/>
    <m/>
    <n v="2"/>
    <n v="260000"/>
  </r>
  <r>
    <s v="KERJASAMA MITRA"/>
    <x v="6"/>
    <d v="2023-08-28T00:00:00"/>
    <x v="3"/>
    <n v="67"/>
    <n v="130000"/>
    <m/>
    <m/>
    <n v="67"/>
    <n v="8710000"/>
  </r>
  <r>
    <s v="WALK IN"/>
    <x v="0"/>
    <d v="2023-08-29T00:00:00"/>
    <x v="3"/>
    <n v="28"/>
    <n v="120000"/>
    <m/>
    <m/>
    <n v="28"/>
    <n v="3360000"/>
  </r>
  <r>
    <s v="WALK IN"/>
    <x v="1"/>
    <d v="2023-08-29T00:00:00"/>
    <x v="3"/>
    <n v="6"/>
    <n v="120000"/>
    <m/>
    <m/>
    <n v="6"/>
    <n v="720000"/>
  </r>
  <r>
    <s v="KERJASAMA MITRA"/>
    <x v="2"/>
    <d v="2023-08-29T00:00:00"/>
    <x v="3"/>
    <n v="5"/>
    <n v="150000"/>
    <m/>
    <m/>
    <n v="5"/>
    <n v="750000"/>
  </r>
  <r>
    <s v="KERJASAMA MITRA"/>
    <x v="3"/>
    <d v="2023-08-29T00:00:00"/>
    <x v="3"/>
    <n v="2"/>
    <n v="130000"/>
    <m/>
    <m/>
    <n v="2"/>
    <n v="260000"/>
  </r>
  <r>
    <s v="KERJASAMA MITRA"/>
    <x v="4"/>
    <d v="2023-08-29T00:00:00"/>
    <x v="3"/>
    <n v="7"/>
    <n v="130000"/>
    <m/>
    <m/>
    <n v="7"/>
    <n v="910000"/>
  </r>
  <r>
    <s v="KERJASAMA MITRA"/>
    <x v="5"/>
    <d v="2023-08-29T00:00:00"/>
    <x v="3"/>
    <n v="3"/>
    <n v="130000"/>
    <m/>
    <m/>
    <n v="3"/>
    <n v="390000"/>
  </r>
  <r>
    <s v="KERJASAMA MITRA"/>
    <x v="6"/>
    <d v="2023-08-29T00:00:00"/>
    <x v="3"/>
    <n v="43"/>
    <n v="130000"/>
    <m/>
    <m/>
    <n v="43"/>
    <n v="5590000"/>
  </r>
  <r>
    <s v="WALK IN"/>
    <x v="0"/>
    <d v="2023-08-30T00:00:00"/>
    <x v="3"/>
    <n v="41"/>
    <n v="120000"/>
    <m/>
    <m/>
    <n v="41"/>
    <n v="4920000"/>
  </r>
  <r>
    <s v="WALK IN"/>
    <x v="1"/>
    <d v="2023-08-30T00:00:00"/>
    <x v="3"/>
    <n v="3"/>
    <n v="120000"/>
    <m/>
    <m/>
    <n v="3"/>
    <n v="370000"/>
  </r>
  <r>
    <s v="KERJASAMA MITRA"/>
    <x v="2"/>
    <d v="2023-08-30T00:00:00"/>
    <x v="3"/>
    <n v="2"/>
    <n v="150000"/>
    <m/>
    <m/>
    <n v="2"/>
    <n v="300000"/>
  </r>
  <r>
    <s v="KERJASAMA MITRA"/>
    <x v="4"/>
    <d v="2023-08-30T00:00:00"/>
    <x v="3"/>
    <n v="10"/>
    <n v="130000"/>
    <m/>
    <m/>
    <n v="10"/>
    <n v="1300000"/>
  </r>
  <r>
    <s v="KERJASAMA MITRA"/>
    <x v="5"/>
    <d v="2023-08-30T00:00:00"/>
    <x v="3"/>
    <n v="6"/>
    <n v="130000"/>
    <m/>
    <m/>
    <n v="6"/>
    <n v="780000"/>
  </r>
  <r>
    <s v="KERJASAMA MITRA"/>
    <x v="6"/>
    <d v="2023-08-30T00:00:00"/>
    <x v="3"/>
    <n v="56"/>
    <n v="130000"/>
    <m/>
    <m/>
    <n v="56"/>
    <n v="7280000"/>
  </r>
  <r>
    <s v="WALK IN"/>
    <x v="0"/>
    <d v="2023-08-31T00:00:00"/>
    <x v="3"/>
    <n v="68"/>
    <n v="120000"/>
    <m/>
    <m/>
    <n v="68"/>
    <n v="8160000"/>
  </r>
  <r>
    <s v="WALK IN"/>
    <x v="1"/>
    <d v="2023-08-31T00:00:00"/>
    <x v="3"/>
    <n v="9"/>
    <n v="120000"/>
    <m/>
    <m/>
    <n v="9"/>
    <n v="1080000"/>
  </r>
  <r>
    <s v="WALK IN"/>
    <x v="8"/>
    <d v="2023-08-31T00:00:00"/>
    <x v="3"/>
    <n v="1"/>
    <n v="500000"/>
    <m/>
    <m/>
    <n v="1"/>
    <n v="500000"/>
  </r>
  <r>
    <s v="KERJASAMA MITRA"/>
    <x v="2"/>
    <d v="2023-08-31T00:00:00"/>
    <x v="3"/>
    <n v="4"/>
    <n v="150000"/>
    <m/>
    <m/>
    <n v="4"/>
    <n v="600000"/>
  </r>
  <r>
    <s v="KERJASAMA MITRA"/>
    <x v="4"/>
    <d v="2023-08-31T00:00:00"/>
    <x v="3"/>
    <n v="5"/>
    <n v="130000"/>
    <m/>
    <m/>
    <n v="5"/>
    <n v="650000"/>
  </r>
  <r>
    <s v="KERJASAMA MITRA"/>
    <x v="5"/>
    <d v="2023-08-31T00:00:00"/>
    <x v="3"/>
    <n v="2"/>
    <n v="130000"/>
    <m/>
    <m/>
    <n v="2"/>
    <n v="260000"/>
  </r>
  <r>
    <s v="KERJASAMA MITRA"/>
    <x v="6"/>
    <d v="2023-08-31T00:00:00"/>
    <x v="3"/>
    <n v="77"/>
    <n v="130000"/>
    <m/>
    <m/>
    <n v="77"/>
    <n v="10010000"/>
  </r>
  <r>
    <s v="WALK IN"/>
    <x v="0"/>
    <d v="2023-09-01T00:00:00"/>
    <x v="4"/>
    <n v="82"/>
    <n v="120000"/>
    <m/>
    <m/>
    <n v="82"/>
    <n v="9840000"/>
  </r>
  <r>
    <s v="WALK IN"/>
    <x v="1"/>
    <d v="2023-09-01T00:00:00"/>
    <x v="4"/>
    <n v="5"/>
    <n v="120000"/>
    <m/>
    <m/>
    <n v="5"/>
    <n v="600000"/>
  </r>
  <r>
    <s v="WALK IN"/>
    <x v="8"/>
    <d v="2023-09-01T00:00:00"/>
    <x v="4"/>
    <n v="1"/>
    <n v="500000"/>
    <m/>
    <m/>
    <n v="1"/>
    <n v="500000"/>
  </r>
  <r>
    <s v="KERJASAMA MITRA"/>
    <x v="2"/>
    <d v="2023-09-01T00:00:00"/>
    <x v="4"/>
    <n v="4"/>
    <n v="150000"/>
    <m/>
    <m/>
    <n v="4"/>
    <n v="600000"/>
  </r>
  <r>
    <s v="KERJASAMA MITRA"/>
    <x v="3"/>
    <d v="2023-09-01T00:00:00"/>
    <x v="4"/>
    <n v="2"/>
    <n v="130000"/>
    <m/>
    <m/>
    <n v="2"/>
    <n v="260000"/>
  </r>
  <r>
    <s v="KERJASAMA MITRA"/>
    <x v="4"/>
    <d v="2023-09-01T00:00:00"/>
    <x v="4"/>
    <n v="7"/>
    <n v="130000"/>
    <m/>
    <m/>
    <n v="7"/>
    <n v="910000"/>
  </r>
  <r>
    <s v="KERJASAMA MITRA"/>
    <x v="5"/>
    <d v="2023-09-01T00:00:00"/>
    <x v="4"/>
    <n v="5"/>
    <n v="130000"/>
    <m/>
    <m/>
    <n v="5"/>
    <n v="650000"/>
  </r>
  <r>
    <s v="KERJASAMA MITRA"/>
    <x v="6"/>
    <d v="2023-09-01T00:00:00"/>
    <x v="4"/>
    <n v="84"/>
    <n v="130000"/>
    <m/>
    <m/>
    <n v="84"/>
    <n v="10920000"/>
  </r>
  <r>
    <s v="WALK IN"/>
    <x v="0"/>
    <d v="2023-09-02T00:00:00"/>
    <x v="4"/>
    <n v="87"/>
    <n v="120000"/>
    <m/>
    <m/>
    <n v="87"/>
    <n v="10440000"/>
  </r>
  <r>
    <s v="WALK IN"/>
    <x v="1"/>
    <d v="2023-09-02T00:00:00"/>
    <x v="4"/>
    <n v="10"/>
    <n v="120000"/>
    <m/>
    <m/>
    <n v="10"/>
    <n v="1200000"/>
  </r>
  <r>
    <s v="KERJASAMA MITRA"/>
    <x v="2"/>
    <d v="2023-09-02T00:00:00"/>
    <x v="4"/>
    <n v="1"/>
    <n v="150000"/>
    <m/>
    <m/>
    <n v="1"/>
    <n v="150000"/>
  </r>
  <r>
    <s v="KERJASAMA MITRA"/>
    <x v="4"/>
    <d v="2023-09-02T00:00:00"/>
    <x v="4"/>
    <n v="10"/>
    <n v="130000"/>
    <m/>
    <m/>
    <n v="10"/>
    <n v="1300000"/>
  </r>
  <r>
    <s v="KERJASAMA MITRA"/>
    <x v="5"/>
    <d v="2023-09-02T00:00:00"/>
    <x v="4"/>
    <n v="3"/>
    <n v="130000"/>
    <m/>
    <m/>
    <n v="3"/>
    <n v="390000"/>
  </r>
  <r>
    <s v="KERJASAMA MITRA"/>
    <x v="6"/>
    <d v="2023-09-02T00:00:00"/>
    <x v="4"/>
    <n v="48"/>
    <n v="130000"/>
    <m/>
    <m/>
    <n v="48"/>
    <n v="6240000"/>
  </r>
  <r>
    <s v="WALK IN"/>
    <x v="0"/>
    <d v="2023-09-03T00:00:00"/>
    <x v="4"/>
    <n v="110"/>
    <n v="120000"/>
    <m/>
    <m/>
    <n v="110"/>
    <n v="13200000"/>
  </r>
  <r>
    <s v="WALK IN"/>
    <x v="1"/>
    <d v="2023-09-03T00:00:00"/>
    <x v="4"/>
    <n v="5"/>
    <n v="120000"/>
    <m/>
    <m/>
    <n v="5"/>
    <n v="600000"/>
  </r>
  <r>
    <s v="KERJASAMA MITRA"/>
    <x v="2"/>
    <d v="2023-09-03T00:00:00"/>
    <x v="4"/>
    <n v="4"/>
    <n v="150000"/>
    <m/>
    <m/>
    <n v="4"/>
    <n v="600000"/>
  </r>
  <r>
    <s v="KERJASAMA MITRA"/>
    <x v="4"/>
    <d v="2023-09-03T00:00:00"/>
    <x v="4"/>
    <n v="11"/>
    <n v="130000"/>
    <m/>
    <m/>
    <n v="11"/>
    <n v="1430000"/>
  </r>
  <r>
    <s v="KERJASAMA MITRA"/>
    <x v="5"/>
    <d v="2023-09-03T00:00:00"/>
    <x v="4"/>
    <n v="8"/>
    <n v="130000"/>
    <m/>
    <m/>
    <n v="8"/>
    <n v="1040000"/>
  </r>
  <r>
    <s v="KERJASAMA MITRA"/>
    <x v="6"/>
    <d v="2023-09-03T00:00:00"/>
    <x v="4"/>
    <n v="104"/>
    <n v="130000"/>
    <m/>
    <m/>
    <n v="104"/>
    <n v="13520000"/>
  </r>
  <r>
    <s v="WALK IN"/>
    <x v="0"/>
    <d v="2023-09-04T00:00:00"/>
    <x v="4"/>
    <n v="83"/>
    <n v="120000"/>
    <m/>
    <m/>
    <n v="83"/>
    <n v="9960000"/>
  </r>
  <r>
    <s v="WALK IN"/>
    <x v="8"/>
    <d v="2023-09-04T00:00:00"/>
    <x v="4"/>
    <n v="1"/>
    <n v="500000"/>
    <m/>
    <m/>
    <n v="1"/>
    <n v="500000"/>
  </r>
  <r>
    <s v="HARPELNAS"/>
    <x v="0"/>
    <d v="2023-09-04T00:00:00"/>
    <x v="4"/>
    <n v="11"/>
    <m/>
    <m/>
    <m/>
    <n v="11"/>
    <n v="0"/>
  </r>
  <r>
    <s v="WALK IN"/>
    <x v="1"/>
    <d v="2023-09-04T00:00:00"/>
    <x v="4"/>
    <n v="6"/>
    <n v="120000"/>
    <m/>
    <m/>
    <n v="6"/>
    <n v="720000"/>
  </r>
  <r>
    <s v="KERJASAMA MITRA"/>
    <x v="2"/>
    <d v="2023-09-04T00:00:00"/>
    <x v="4"/>
    <n v="4"/>
    <n v="150000"/>
    <m/>
    <m/>
    <n v="4"/>
    <n v="600000"/>
  </r>
  <r>
    <s v="KERJASAMA MITRA"/>
    <x v="4"/>
    <d v="2023-09-04T00:00:00"/>
    <x v="4"/>
    <n v="18"/>
    <n v="130000"/>
    <m/>
    <m/>
    <n v="18"/>
    <n v="2340000"/>
  </r>
  <r>
    <s v="KERJASAMA MITRA"/>
    <x v="5"/>
    <d v="2023-09-04T00:00:00"/>
    <x v="4"/>
    <n v="8"/>
    <n v="130000"/>
    <m/>
    <m/>
    <n v="8"/>
    <n v="1040000"/>
  </r>
  <r>
    <s v="KERJASAMA MITRA"/>
    <x v="6"/>
    <d v="2023-09-04T00:00:00"/>
    <x v="4"/>
    <n v="72"/>
    <n v="130000"/>
    <m/>
    <m/>
    <n v="72"/>
    <n v="9360000"/>
  </r>
  <r>
    <s v="WALK IN"/>
    <x v="0"/>
    <d v="2023-09-05T00:00:00"/>
    <x v="4"/>
    <n v="90"/>
    <n v="120000"/>
    <m/>
    <m/>
    <n v="90"/>
    <n v="10800000"/>
  </r>
  <r>
    <s v="WALK IN"/>
    <x v="1"/>
    <d v="2023-09-05T00:00:00"/>
    <x v="4"/>
    <n v="7"/>
    <n v="120000"/>
    <m/>
    <m/>
    <n v="7"/>
    <n v="840000"/>
  </r>
  <r>
    <s v="KERJASAMA MITRA"/>
    <x v="2"/>
    <d v="2023-09-05T00:00:00"/>
    <x v="4"/>
    <n v="4"/>
    <n v="150000"/>
    <m/>
    <m/>
    <n v="4"/>
    <n v="600000"/>
  </r>
  <r>
    <s v="KERJASAMA MITRA"/>
    <x v="3"/>
    <d v="2023-09-05T00:00:00"/>
    <x v="4"/>
    <n v="1"/>
    <n v="130000"/>
    <m/>
    <m/>
    <n v="1"/>
    <n v="130000"/>
  </r>
  <r>
    <s v="KERJASAMA MITRA"/>
    <x v="4"/>
    <d v="2023-09-05T00:00:00"/>
    <x v="4"/>
    <n v="5"/>
    <n v="130000"/>
    <m/>
    <m/>
    <n v="5"/>
    <n v="650000"/>
  </r>
  <r>
    <s v="KERJASAMA MITRA"/>
    <x v="5"/>
    <d v="2023-09-05T00:00:00"/>
    <x v="4"/>
    <n v="4"/>
    <n v="130000"/>
    <m/>
    <m/>
    <n v="4"/>
    <n v="520000"/>
  </r>
  <r>
    <s v="KERJASAMA MITRA"/>
    <x v="6"/>
    <d v="2023-09-05T00:00:00"/>
    <x v="4"/>
    <n v="42"/>
    <n v="130000"/>
    <m/>
    <m/>
    <n v="42"/>
    <n v="5460000"/>
  </r>
  <r>
    <s v="KERJASAMA MITRA"/>
    <x v="7"/>
    <d v="2023-09-05T00:00:00"/>
    <x v="4"/>
    <n v="13"/>
    <n v="110000"/>
    <m/>
    <m/>
    <n v="13"/>
    <n v="1430000"/>
  </r>
  <r>
    <s v="WALK IN"/>
    <x v="0"/>
    <d v="2023-09-06T00:00:00"/>
    <x v="4"/>
    <n v="74"/>
    <n v="120000"/>
    <m/>
    <m/>
    <n v="74"/>
    <n v="8880000"/>
  </r>
  <r>
    <s v="WALK IN"/>
    <x v="1"/>
    <d v="2023-09-06T00:00:00"/>
    <x v="4"/>
    <n v="6"/>
    <n v="120000"/>
    <m/>
    <m/>
    <n v="6"/>
    <n v="720000"/>
  </r>
  <r>
    <s v="WALK IN"/>
    <x v="8"/>
    <d v="2023-09-06T00:00:00"/>
    <x v="4"/>
    <n v="1"/>
    <n v="1000000"/>
    <m/>
    <m/>
    <n v="1"/>
    <n v="1000000"/>
  </r>
  <r>
    <s v="KERJASAMA MITRA"/>
    <x v="3"/>
    <d v="2023-09-06T00:00:00"/>
    <x v="4"/>
    <n v="5"/>
    <n v="130000"/>
    <m/>
    <m/>
    <n v="5"/>
    <n v="650000"/>
  </r>
  <r>
    <s v="KERJASAMA MITRA"/>
    <x v="4"/>
    <d v="2023-09-06T00:00:00"/>
    <x v="4"/>
    <n v="16"/>
    <n v="130000"/>
    <m/>
    <m/>
    <n v="16"/>
    <n v="2080000"/>
  </r>
  <r>
    <s v="KERJASAMA MITRA"/>
    <x v="5"/>
    <d v="2023-09-06T00:00:00"/>
    <x v="4"/>
    <n v="3"/>
    <n v="130000"/>
    <m/>
    <m/>
    <n v="3"/>
    <n v="390000"/>
  </r>
  <r>
    <s v="KERJASAMA MITRA"/>
    <x v="6"/>
    <d v="2023-09-06T00:00:00"/>
    <x v="4"/>
    <n v="48"/>
    <n v="130000"/>
    <m/>
    <m/>
    <n v="48"/>
    <n v="6240000"/>
  </r>
  <r>
    <s v="KERJASAMA MITRA"/>
    <x v="7"/>
    <d v="2023-09-06T00:00:00"/>
    <x v="4"/>
    <n v="1"/>
    <n v="110000"/>
    <m/>
    <m/>
    <n v="1"/>
    <n v="110000"/>
  </r>
  <r>
    <s v="WALK IN"/>
    <x v="0"/>
    <d v="2023-09-07T00:00:00"/>
    <x v="4"/>
    <n v="96"/>
    <n v="120000"/>
    <m/>
    <m/>
    <n v="96"/>
    <n v="11520000"/>
  </r>
  <r>
    <s v="WALK IN"/>
    <x v="1"/>
    <d v="2023-09-07T00:00:00"/>
    <x v="4"/>
    <n v="22"/>
    <n v="120000"/>
    <m/>
    <m/>
    <n v="22"/>
    <n v="2640000"/>
  </r>
  <r>
    <s v="KERJASAMA MITRA"/>
    <x v="2"/>
    <d v="2023-09-07T00:00:00"/>
    <x v="4"/>
    <n v="3"/>
    <n v="150000"/>
    <m/>
    <m/>
    <n v="3"/>
    <n v="450000"/>
  </r>
  <r>
    <s v="KERJASAMA MITRA"/>
    <x v="3"/>
    <d v="2023-09-07T00:00:00"/>
    <x v="4"/>
    <n v="2"/>
    <n v="130000"/>
    <m/>
    <m/>
    <n v="2"/>
    <n v="260000"/>
  </r>
  <r>
    <s v="KERJASAMA MITRA"/>
    <x v="4"/>
    <d v="2023-09-07T00:00:00"/>
    <x v="4"/>
    <n v="19"/>
    <n v="130000"/>
    <m/>
    <m/>
    <n v="19"/>
    <n v="2470000"/>
  </r>
  <r>
    <s v="KERJASAMA MITRA"/>
    <x v="5"/>
    <d v="2023-09-07T00:00:00"/>
    <x v="4"/>
    <n v="4"/>
    <n v="130000"/>
    <m/>
    <m/>
    <n v="4"/>
    <n v="520000"/>
  </r>
  <r>
    <s v="KERJASAMA MITRA"/>
    <x v="6"/>
    <d v="2023-09-07T00:00:00"/>
    <x v="4"/>
    <n v="72"/>
    <n v="130000"/>
    <m/>
    <m/>
    <n v="72"/>
    <n v="9360000"/>
  </r>
  <r>
    <s v="KERJASAMA MITRA"/>
    <x v="7"/>
    <d v="2023-09-07T00:00:00"/>
    <x v="4"/>
    <n v="1"/>
    <n v="110000"/>
    <m/>
    <m/>
    <n v="1"/>
    <n v="110000"/>
  </r>
  <r>
    <s v="WALK IN"/>
    <x v="0"/>
    <d v="2023-09-08T00:00:00"/>
    <x v="4"/>
    <n v="76"/>
    <n v="120000"/>
    <m/>
    <m/>
    <n v="76"/>
    <n v="9140000"/>
  </r>
  <r>
    <s v="WALK IN"/>
    <x v="1"/>
    <d v="2023-09-08T00:00:00"/>
    <x v="4"/>
    <n v="10"/>
    <n v="120000"/>
    <m/>
    <m/>
    <n v="10"/>
    <n v="1200000"/>
  </r>
  <r>
    <s v="KERJASAMA MITRA"/>
    <x v="2"/>
    <d v="2023-09-08T00:00:00"/>
    <x v="4"/>
    <n v="3"/>
    <n v="150000"/>
    <m/>
    <m/>
    <n v="3"/>
    <n v="450000"/>
  </r>
  <r>
    <s v="KERJASAMA MITRA"/>
    <x v="3"/>
    <d v="2023-09-08T00:00:00"/>
    <x v="4"/>
    <n v="6"/>
    <n v="130000"/>
    <m/>
    <m/>
    <n v="6"/>
    <n v="780000"/>
  </r>
  <r>
    <s v="KERJASAMA MITRA"/>
    <x v="4"/>
    <d v="2023-09-08T00:00:00"/>
    <x v="4"/>
    <n v="15"/>
    <n v="130000"/>
    <m/>
    <m/>
    <n v="15"/>
    <n v="1950000"/>
  </r>
  <r>
    <s v="KERJASAMA MITRA"/>
    <x v="5"/>
    <d v="2023-09-08T00:00:00"/>
    <x v="4"/>
    <n v="9"/>
    <n v="130000"/>
    <m/>
    <m/>
    <n v="9"/>
    <n v="1170000"/>
  </r>
  <r>
    <s v="KERJASAMA MITRA"/>
    <x v="6"/>
    <d v="2023-09-08T00:00:00"/>
    <x v="4"/>
    <n v="59"/>
    <n v="130000"/>
    <m/>
    <m/>
    <n v="59"/>
    <n v="7670000"/>
  </r>
  <r>
    <s v="KERJASAMA MITRA"/>
    <x v="7"/>
    <d v="2023-09-08T00:00:00"/>
    <x v="4"/>
    <n v="1"/>
    <n v="110000"/>
    <m/>
    <m/>
    <n v="1"/>
    <n v="110000"/>
  </r>
  <r>
    <s v="WALK IN"/>
    <x v="0"/>
    <d v="2023-09-09T00:00:00"/>
    <x v="4"/>
    <n v="59"/>
    <n v="120000"/>
    <m/>
    <m/>
    <n v="59"/>
    <n v="7080000"/>
  </r>
  <r>
    <s v="WALK IN"/>
    <x v="1"/>
    <d v="2023-09-09T00:00:00"/>
    <x v="4"/>
    <n v="4"/>
    <n v="120000"/>
    <m/>
    <m/>
    <n v="4"/>
    <n v="480000"/>
  </r>
  <r>
    <s v="KERJASAMA MITRA"/>
    <x v="2"/>
    <d v="2023-09-09T00:00:00"/>
    <x v="4"/>
    <n v="9"/>
    <n v="150000"/>
    <m/>
    <m/>
    <n v="9"/>
    <n v="1350000"/>
  </r>
  <r>
    <s v="KERJASAMA MITRA"/>
    <x v="4"/>
    <d v="2023-09-09T00:00:00"/>
    <x v="4"/>
    <n v="8"/>
    <n v="130000"/>
    <m/>
    <m/>
    <n v="8"/>
    <n v="1040000"/>
  </r>
  <r>
    <s v="KERJASAMA MITRA"/>
    <x v="5"/>
    <d v="2023-09-09T00:00:00"/>
    <x v="4"/>
    <n v="4"/>
    <n v="130000"/>
    <m/>
    <m/>
    <n v="4"/>
    <n v="520000"/>
  </r>
  <r>
    <s v="KERJASAMA MITRA"/>
    <x v="6"/>
    <d v="2023-09-09T00:00:00"/>
    <x v="4"/>
    <n v="48"/>
    <n v="130000"/>
    <m/>
    <m/>
    <n v="48"/>
    <n v="6240000"/>
  </r>
  <r>
    <s v="WALK IN"/>
    <x v="0"/>
    <d v="2023-09-10T00:00:00"/>
    <x v="4"/>
    <n v="74"/>
    <n v="120000"/>
    <m/>
    <m/>
    <n v="74"/>
    <n v="8880000"/>
  </r>
  <r>
    <s v="WALK IN"/>
    <x v="1"/>
    <d v="2023-09-10T00:00:00"/>
    <x v="4"/>
    <n v="1"/>
    <n v="120000"/>
    <m/>
    <m/>
    <n v="1"/>
    <n v="120000"/>
  </r>
  <r>
    <s v="KERJASAMA MITRA"/>
    <x v="4"/>
    <d v="2023-09-10T00:00:00"/>
    <x v="4"/>
    <n v="5"/>
    <n v="130000"/>
    <m/>
    <m/>
    <n v="5"/>
    <n v="650000"/>
  </r>
  <r>
    <s v="KERJASAMA MITRA"/>
    <x v="5"/>
    <d v="2023-09-10T00:00:00"/>
    <x v="4"/>
    <n v="3"/>
    <n v="130000"/>
    <m/>
    <m/>
    <n v="3"/>
    <n v="390000"/>
  </r>
  <r>
    <s v="KERJASAMA MITRA"/>
    <x v="6"/>
    <d v="2023-09-10T00:00:00"/>
    <x v="4"/>
    <n v="57"/>
    <n v="130000"/>
    <m/>
    <m/>
    <n v="57"/>
    <n v="7410000"/>
  </r>
  <r>
    <s v="WALK IN"/>
    <x v="0"/>
    <d v="2023-09-11T00:00:00"/>
    <x v="4"/>
    <n v="45"/>
    <n v="120000"/>
    <m/>
    <m/>
    <n v="45"/>
    <n v="5400000"/>
  </r>
  <r>
    <s v="WALK IN"/>
    <x v="1"/>
    <d v="2023-09-11T00:00:00"/>
    <x v="4"/>
    <n v="13"/>
    <n v="120000"/>
    <m/>
    <m/>
    <n v="13"/>
    <n v="1560000"/>
  </r>
  <r>
    <s v="KERJASAMA MITRA"/>
    <x v="3"/>
    <d v="2023-09-11T00:00:00"/>
    <x v="4"/>
    <n v="4"/>
    <n v="130000"/>
    <m/>
    <m/>
    <n v="4"/>
    <n v="520000"/>
  </r>
  <r>
    <s v="KERJASAMA MITRA"/>
    <x v="4"/>
    <d v="2023-09-11T00:00:00"/>
    <x v="4"/>
    <n v="9"/>
    <n v="130000"/>
    <m/>
    <m/>
    <n v="9"/>
    <n v="1170000"/>
  </r>
  <r>
    <s v="KERJASAMA MITRA"/>
    <x v="5"/>
    <d v="2023-09-11T00:00:00"/>
    <x v="4"/>
    <n v="9"/>
    <n v="130000"/>
    <m/>
    <m/>
    <n v="9"/>
    <n v="1170000"/>
  </r>
  <r>
    <s v="KERJASAMA MITRA"/>
    <x v="6"/>
    <d v="2023-09-11T00:00:00"/>
    <x v="4"/>
    <n v="48"/>
    <n v="130000"/>
    <m/>
    <m/>
    <n v="48"/>
    <n v="6240000"/>
  </r>
  <r>
    <s v="WALK IN"/>
    <x v="0"/>
    <d v="2023-09-12T00:00:00"/>
    <x v="4"/>
    <n v="66"/>
    <n v="120000"/>
    <m/>
    <m/>
    <n v="66"/>
    <n v="7920000"/>
  </r>
  <r>
    <s v="WALK IN"/>
    <x v="1"/>
    <d v="2023-09-12T00:00:00"/>
    <x v="4"/>
    <n v="6"/>
    <n v="120000"/>
    <m/>
    <m/>
    <n v="6"/>
    <n v="720000"/>
  </r>
  <r>
    <s v="KERJASAMA MITRA"/>
    <x v="2"/>
    <d v="2023-09-12T00:00:00"/>
    <x v="4"/>
    <n v="2"/>
    <n v="150000"/>
    <m/>
    <m/>
    <n v="2"/>
    <n v="300000"/>
  </r>
  <r>
    <s v="KERJASAMA MITRA"/>
    <x v="4"/>
    <d v="2023-09-12T00:00:00"/>
    <x v="4"/>
    <n v="12"/>
    <n v="130000"/>
    <m/>
    <m/>
    <n v="12"/>
    <n v="1560000"/>
  </r>
  <r>
    <s v="KERJASAMA MITRA"/>
    <x v="5"/>
    <d v="2023-09-12T00:00:00"/>
    <x v="4"/>
    <n v="8"/>
    <n v="130000"/>
    <m/>
    <m/>
    <n v="8"/>
    <n v="1040000"/>
  </r>
  <r>
    <s v="KERJASAMA MITRA"/>
    <x v="6"/>
    <d v="2023-09-12T00:00:00"/>
    <x v="4"/>
    <n v="47"/>
    <n v="130000"/>
    <m/>
    <m/>
    <n v="47"/>
    <n v="6110000"/>
  </r>
  <r>
    <s v="WALK IN"/>
    <x v="0"/>
    <d v="2023-09-13T00:00:00"/>
    <x v="4"/>
    <n v="82"/>
    <n v="120000"/>
    <m/>
    <m/>
    <n v="82"/>
    <n v="9840000"/>
  </r>
  <r>
    <s v="WALK IN"/>
    <x v="1"/>
    <d v="2023-09-13T00:00:00"/>
    <x v="4"/>
    <n v="25"/>
    <n v="120000"/>
    <m/>
    <m/>
    <n v="25"/>
    <n v="3000000"/>
  </r>
  <r>
    <s v="KERJASAMA MITRA"/>
    <x v="2"/>
    <d v="2023-09-13T00:00:00"/>
    <x v="4"/>
    <n v="1"/>
    <n v="150000"/>
    <m/>
    <m/>
    <n v="1"/>
    <n v="150000"/>
  </r>
  <r>
    <s v="KERJASAMA MITRA"/>
    <x v="3"/>
    <d v="2023-09-13T00:00:00"/>
    <x v="4"/>
    <n v="5"/>
    <n v="130000"/>
    <m/>
    <m/>
    <n v="5"/>
    <n v="650000"/>
  </r>
  <r>
    <s v="KERJASAMA MITRA"/>
    <x v="4"/>
    <d v="2023-09-13T00:00:00"/>
    <x v="4"/>
    <n v="7"/>
    <n v="130000"/>
    <m/>
    <m/>
    <n v="7"/>
    <n v="910000"/>
  </r>
  <r>
    <s v="KERJASAMA MITRA"/>
    <x v="5"/>
    <d v="2023-09-13T00:00:00"/>
    <x v="4"/>
    <n v="2"/>
    <n v="130000"/>
    <m/>
    <m/>
    <n v="2"/>
    <n v="260000"/>
  </r>
  <r>
    <s v="KERJASAMA MITRA"/>
    <x v="6"/>
    <d v="2023-09-13T00:00:00"/>
    <x v="4"/>
    <n v="54"/>
    <n v="130000"/>
    <m/>
    <m/>
    <n v="54"/>
    <n v="7020000"/>
  </r>
  <r>
    <s v="WALK IN"/>
    <x v="0"/>
    <d v="2023-09-14T00:00:00"/>
    <x v="4"/>
    <n v="81"/>
    <n v="120000"/>
    <m/>
    <m/>
    <n v="81"/>
    <n v="9720000"/>
  </r>
  <r>
    <s v="WALK IN"/>
    <x v="1"/>
    <d v="2023-09-14T00:00:00"/>
    <x v="4"/>
    <n v="25"/>
    <n v="120000"/>
    <m/>
    <m/>
    <n v="25"/>
    <n v="3000000"/>
  </r>
  <r>
    <s v="KERJASAMA MITRA"/>
    <x v="2"/>
    <d v="2023-09-14T00:00:00"/>
    <x v="4"/>
    <n v="5"/>
    <n v="150000"/>
    <m/>
    <m/>
    <n v="5"/>
    <n v="750000"/>
  </r>
  <r>
    <s v="KERJASAMA MITRA"/>
    <x v="4"/>
    <d v="2023-09-14T00:00:00"/>
    <x v="4"/>
    <n v="6"/>
    <n v="130000"/>
    <m/>
    <m/>
    <n v="6"/>
    <n v="780000"/>
  </r>
  <r>
    <s v="KERJASAMA MITRA"/>
    <x v="5"/>
    <d v="2023-09-14T00:00:00"/>
    <x v="4"/>
    <n v="3"/>
    <n v="130000"/>
    <m/>
    <m/>
    <n v="3"/>
    <n v="390000"/>
  </r>
  <r>
    <s v="KERJASAMA MITRA"/>
    <x v="6"/>
    <d v="2023-09-14T00:00:00"/>
    <x v="4"/>
    <n v="54"/>
    <n v="130000"/>
    <m/>
    <m/>
    <n v="54"/>
    <n v="7020000"/>
  </r>
  <r>
    <s v="WALK IN"/>
    <x v="0"/>
    <d v="2023-09-15T00:00:00"/>
    <x v="4"/>
    <n v="102"/>
    <n v="120000"/>
    <m/>
    <m/>
    <n v="102"/>
    <n v="12240000"/>
  </r>
  <r>
    <s v="WALK IN"/>
    <x v="1"/>
    <d v="2023-09-15T00:00:00"/>
    <x v="4"/>
    <n v="8"/>
    <n v="120000"/>
    <m/>
    <m/>
    <n v="8"/>
    <n v="960000"/>
  </r>
  <r>
    <s v="KERJASAMA MITRA"/>
    <x v="2"/>
    <d v="2023-09-15T00:00:00"/>
    <x v="4"/>
    <n v="9"/>
    <n v="150000"/>
    <m/>
    <m/>
    <n v="9"/>
    <n v="1350000"/>
  </r>
  <r>
    <s v="KERJASAMA MITRA"/>
    <x v="3"/>
    <d v="2023-09-15T00:00:00"/>
    <x v="4"/>
    <n v="4"/>
    <n v="130000"/>
    <m/>
    <m/>
    <n v="4"/>
    <n v="520000"/>
  </r>
  <r>
    <s v="KERJASAMA MITRA"/>
    <x v="4"/>
    <d v="2023-09-15T00:00:00"/>
    <x v="4"/>
    <n v="4"/>
    <n v="130000"/>
    <m/>
    <m/>
    <n v="4"/>
    <n v="520000"/>
  </r>
  <r>
    <s v="KERJASAMA MITRA"/>
    <x v="5"/>
    <d v="2023-09-15T00:00:00"/>
    <x v="4"/>
    <n v="12"/>
    <n v="130000"/>
    <m/>
    <m/>
    <n v="12"/>
    <n v="1560000"/>
  </r>
  <r>
    <s v="KERJASAMA MITRA"/>
    <x v="6"/>
    <d v="2023-09-15T00:00:00"/>
    <x v="4"/>
    <n v="95"/>
    <n v="130000"/>
    <m/>
    <m/>
    <n v="95"/>
    <n v="12350000"/>
  </r>
  <r>
    <s v="WALK IN"/>
    <x v="0"/>
    <d v="2023-09-16T00:00:00"/>
    <x v="4"/>
    <n v="58"/>
    <n v="120000"/>
    <m/>
    <m/>
    <n v="58"/>
    <n v="6960000"/>
  </r>
  <r>
    <s v="WALK IN"/>
    <x v="1"/>
    <d v="2023-09-16T00:00:00"/>
    <x v="4"/>
    <n v="33"/>
    <n v="120000"/>
    <m/>
    <m/>
    <n v="33"/>
    <n v="3960000"/>
  </r>
  <r>
    <s v="WALK IN"/>
    <x v="8"/>
    <d v="2023-09-16T00:00:00"/>
    <x v="4"/>
    <n v="1"/>
    <n v="1000000"/>
    <m/>
    <m/>
    <n v="1"/>
    <n v="1000000"/>
  </r>
  <r>
    <s v="KERJASAMA MITRA"/>
    <x v="2"/>
    <d v="2023-09-16T00:00:00"/>
    <x v="4"/>
    <n v="3"/>
    <n v="150000"/>
    <m/>
    <m/>
    <n v="3"/>
    <n v="450000"/>
  </r>
  <r>
    <s v="KERJASAMA MITRA"/>
    <x v="4"/>
    <d v="2023-09-16T00:00:00"/>
    <x v="4"/>
    <n v="5"/>
    <n v="130000"/>
    <m/>
    <m/>
    <n v="5"/>
    <n v="650000"/>
  </r>
  <r>
    <s v="KERJASAMA MITRA"/>
    <x v="5"/>
    <d v="2023-09-16T00:00:00"/>
    <x v="4"/>
    <n v="8"/>
    <n v="130000"/>
    <m/>
    <m/>
    <n v="8"/>
    <n v="1040000"/>
  </r>
  <r>
    <s v="KERJASAMA MITRA"/>
    <x v="6"/>
    <d v="2023-09-16T00:00:00"/>
    <x v="4"/>
    <n v="68"/>
    <n v="130000"/>
    <m/>
    <m/>
    <n v="68"/>
    <n v="8840000"/>
  </r>
  <r>
    <s v="WALK IN"/>
    <x v="0"/>
    <d v="2023-09-17T00:00:00"/>
    <x v="4"/>
    <n v="74"/>
    <n v="120000"/>
    <m/>
    <m/>
    <n v="74"/>
    <n v="8880000"/>
  </r>
  <r>
    <s v="WALK IN"/>
    <x v="1"/>
    <d v="2023-09-17T00:00:00"/>
    <x v="4"/>
    <n v="4"/>
    <n v="120000"/>
    <m/>
    <m/>
    <n v="4"/>
    <n v="480000"/>
  </r>
  <r>
    <s v="KERJASAMA MITRA"/>
    <x v="2"/>
    <d v="2023-09-17T00:00:00"/>
    <x v="4"/>
    <n v="4"/>
    <n v="150000"/>
    <m/>
    <m/>
    <n v="4"/>
    <n v="600000"/>
  </r>
  <r>
    <s v="KERJASAMA MITRA"/>
    <x v="4"/>
    <d v="2023-09-17T00:00:00"/>
    <x v="4"/>
    <n v="7"/>
    <n v="130000"/>
    <m/>
    <m/>
    <n v="7"/>
    <n v="910000"/>
  </r>
  <r>
    <s v="KERJASAMA MITRA"/>
    <x v="6"/>
    <d v="2023-09-17T00:00:00"/>
    <x v="4"/>
    <n v="60"/>
    <n v="130000"/>
    <m/>
    <m/>
    <n v="60"/>
    <n v="7800000"/>
  </r>
  <r>
    <s v="KERJASAMA MITRA"/>
    <x v="7"/>
    <d v="2023-09-17T00:00:00"/>
    <x v="4"/>
    <n v="2"/>
    <n v="110000"/>
    <m/>
    <m/>
    <n v="2"/>
    <n v="220000"/>
  </r>
  <r>
    <s v="WALK IN"/>
    <x v="0"/>
    <d v="2023-09-18T00:00:00"/>
    <x v="4"/>
    <n v="58"/>
    <n v="130000"/>
    <m/>
    <m/>
    <n v="58"/>
    <n v="7530000"/>
  </r>
  <r>
    <s v="WALK IN"/>
    <x v="1"/>
    <d v="2023-09-18T00:00:00"/>
    <x v="4"/>
    <n v="54"/>
    <n v="130000"/>
    <m/>
    <m/>
    <n v="54"/>
    <n v="8920000"/>
  </r>
  <r>
    <s v="WALK IN"/>
    <x v="8"/>
    <d v="2023-09-18T00:00:00"/>
    <x v="4"/>
    <n v="1"/>
    <n v="1000000"/>
    <m/>
    <m/>
    <n v="1"/>
    <n v="1000000"/>
  </r>
  <r>
    <s v="KERJASAMA MITRA"/>
    <x v="2"/>
    <d v="2023-09-18T00:00:00"/>
    <x v="4"/>
    <n v="3"/>
    <n v="150000"/>
    <m/>
    <m/>
    <n v="3"/>
    <n v="450000"/>
  </r>
  <r>
    <s v="KERJASAMA MITRA"/>
    <x v="4"/>
    <d v="2023-09-18T00:00:00"/>
    <x v="4"/>
    <n v="4"/>
    <n v="130000"/>
    <m/>
    <m/>
    <n v="4"/>
    <n v="520000"/>
  </r>
  <r>
    <s v="KERJASAMA MITRA"/>
    <x v="5"/>
    <d v="2023-09-18T00:00:00"/>
    <x v="4"/>
    <n v="4"/>
    <n v="130000"/>
    <m/>
    <m/>
    <n v="4"/>
    <n v="520000"/>
  </r>
  <r>
    <s v="KERJASAMA MITRA"/>
    <x v="6"/>
    <d v="2023-09-18T00:00:00"/>
    <x v="4"/>
    <n v="49"/>
    <n v="130000"/>
    <m/>
    <m/>
    <n v="49"/>
    <n v="6370000"/>
  </r>
  <r>
    <s v="WALK IN"/>
    <x v="0"/>
    <d v="2023-09-19T00:00:00"/>
    <x v="4"/>
    <n v="67"/>
    <n v="130000"/>
    <m/>
    <m/>
    <n v="67"/>
    <n v="8710000"/>
  </r>
  <r>
    <s v="WALK IN"/>
    <x v="1"/>
    <d v="2023-09-19T00:00:00"/>
    <x v="4"/>
    <n v="10"/>
    <n v="130000"/>
    <m/>
    <m/>
    <n v="10"/>
    <n v="1300000"/>
  </r>
  <r>
    <s v="KERJASAMA MITRA"/>
    <x v="2"/>
    <d v="2023-09-19T00:00:00"/>
    <x v="4"/>
    <n v="5"/>
    <n v="150000"/>
    <m/>
    <m/>
    <n v="5"/>
    <n v="750000"/>
  </r>
  <r>
    <s v="KERJASAMA MITRA"/>
    <x v="4"/>
    <d v="2023-09-19T00:00:00"/>
    <x v="4"/>
    <n v="8"/>
    <n v="130000"/>
    <m/>
    <m/>
    <n v="8"/>
    <n v="1040000"/>
  </r>
  <r>
    <s v="KERJASAMA MITRA"/>
    <x v="5"/>
    <d v="2023-09-19T00:00:00"/>
    <x v="4"/>
    <n v="1"/>
    <n v="130000"/>
    <m/>
    <m/>
    <n v="1"/>
    <n v="130000"/>
  </r>
  <r>
    <s v="KERJASAMA MITRA"/>
    <x v="6"/>
    <d v="2023-09-19T00:00:00"/>
    <x v="4"/>
    <n v="39"/>
    <n v="130000"/>
    <m/>
    <m/>
    <n v="39"/>
    <n v="5070000"/>
  </r>
  <r>
    <s v="WALK IN"/>
    <x v="0"/>
    <d v="2023-09-20T00:00:00"/>
    <x v="4"/>
    <n v="68"/>
    <n v="130000"/>
    <m/>
    <m/>
    <n v="68"/>
    <n v="8840000"/>
  </r>
  <r>
    <s v="WALK IN"/>
    <x v="1"/>
    <d v="2023-09-20T00:00:00"/>
    <x v="4"/>
    <n v="12"/>
    <n v="130000"/>
    <m/>
    <m/>
    <n v="12"/>
    <n v="1560000"/>
  </r>
  <r>
    <s v="KERJASAMA MITRA"/>
    <x v="2"/>
    <d v="2023-09-20T00:00:00"/>
    <x v="4"/>
    <n v="4"/>
    <n v="150000"/>
    <m/>
    <m/>
    <n v="4"/>
    <n v="600000"/>
  </r>
  <r>
    <s v="KERJASAMA MITRA"/>
    <x v="3"/>
    <d v="2023-09-20T00:00:00"/>
    <x v="4"/>
    <n v="4"/>
    <n v="130000"/>
    <m/>
    <m/>
    <n v="4"/>
    <n v="520000"/>
  </r>
  <r>
    <s v="KERJASAMA MITRA"/>
    <x v="4"/>
    <d v="2023-09-20T00:00:00"/>
    <x v="4"/>
    <n v="9"/>
    <n v="130000"/>
    <m/>
    <m/>
    <n v="9"/>
    <n v="1170000"/>
  </r>
  <r>
    <s v="KERJASAMA MITRA"/>
    <x v="5"/>
    <d v="2023-09-20T00:00:00"/>
    <x v="4"/>
    <n v="8"/>
    <n v="130000"/>
    <m/>
    <m/>
    <n v="8"/>
    <n v="1040000"/>
  </r>
  <r>
    <s v="KERJASAMA MITRA"/>
    <x v="6"/>
    <d v="2023-09-20T00:00:00"/>
    <x v="4"/>
    <n v="66"/>
    <n v="130000"/>
    <m/>
    <m/>
    <n v="66"/>
    <n v="8580000"/>
  </r>
  <r>
    <s v="KERJASAMA MITRA"/>
    <x v="7"/>
    <d v="2023-09-20T00:00:00"/>
    <x v="4"/>
    <n v="1"/>
    <n v="110000"/>
    <m/>
    <m/>
    <n v="1"/>
    <n v="1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6" firstHeaderRow="0" firstDataRow="1" firstDataCol="1"/>
  <pivotFields count="14">
    <pivotField showAll="0"/>
    <pivotField axis="axisRow" showAll="0">
      <items count="9">
        <item x="3"/>
        <item x="2"/>
        <item x="4"/>
        <item x="5"/>
        <item x="6"/>
        <item x="1"/>
        <item x="7"/>
        <item x="0"/>
        <item t="default"/>
      </items>
    </pivotField>
    <pivotField numFmtId="167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numFmtId="166" showAll="0"/>
    <pivotField numFmtId="166" showAll="0"/>
    <pivotField showAll="0"/>
    <pivotField showAll="0"/>
    <pivotField dataField="1" numFmtId="166" showAll="0"/>
    <pivotField dataField="1" numFmtId="166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x="5"/>
        <item x="6"/>
        <item x="7"/>
        <item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1"/>
  </rowFields>
  <rowItems count="23">
    <i>
      <x v="5"/>
    </i>
    <i r="1">
      <x v="5"/>
    </i>
    <i r="1">
      <x v="7"/>
    </i>
    <i>
      <x v="6"/>
    </i>
    <i r="1">
      <x v="1"/>
    </i>
    <i r="1">
      <x v="5"/>
    </i>
    <i r="1">
      <x v="7"/>
    </i>
    <i>
      <x v="7"/>
    </i>
    <i r="1">
      <x/>
    </i>
    <i r="1">
      <x v="1"/>
    </i>
    <i r="1">
      <x v="2"/>
    </i>
    <i r="1">
      <x v="5"/>
    </i>
    <i r="1">
      <x v="7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PAX" fld="8" baseField="0" baseItem="0"/>
    <dataField name="Sum of TOTAL PRICE" fld="9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3" type="button" dataOnly="0" labelOnly="1" outline="0" axis="axisRow" fieldPosition="0"/>
    </format>
    <format dxfId="2">
      <pivotArea dataOnly="0" labelOnly="1" fieldPosition="0">
        <references count="1">
          <reference field="13" count="4">
            <x v="5"/>
            <x v="6"/>
            <x v="7"/>
            <x v="8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1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:D37" firstHeaderRow="0" firstDataRow="1" firstDataCol="1"/>
  <pivotFields count="10">
    <pivotField showAll="0"/>
    <pivotField axis="axisRow" showAll="0">
      <items count="10">
        <item x="3"/>
        <item x="2"/>
        <item x="4"/>
        <item x="5"/>
        <item x="6"/>
        <item x="1"/>
        <item x="7"/>
        <item x="8"/>
        <item x="0"/>
        <item t="default"/>
      </items>
    </pivotField>
    <pivotField numFmtId="167"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66" showAll="0"/>
    <pivotField showAll="0"/>
    <pivotField showAll="0"/>
    <pivotField showAll="0"/>
    <pivotField dataField="1" numFmtId="166" showAll="0"/>
    <pivotField dataField="1" numFmtId="166" showAll="0"/>
  </pivotFields>
  <rowFields count="2">
    <field x="3"/>
    <field x="1"/>
  </rowFields>
  <rowItems count="34">
    <i>
      <x/>
    </i>
    <i r="1">
      <x v="5"/>
    </i>
    <i r="1">
      <x v="8"/>
    </i>
    <i>
      <x v="1"/>
    </i>
    <i r="1">
      <x v="1"/>
    </i>
    <i r="1">
      <x v="5"/>
    </i>
    <i r="1">
      <x v="8"/>
    </i>
    <i>
      <x v="2"/>
    </i>
    <i r="1">
      <x/>
    </i>
    <i r="1">
      <x v="1"/>
    </i>
    <i r="1">
      <x v="2"/>
    </i>
    <i r="1">
      <x v="5"/>
    </i>
    <i r="1">
      <x v="8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PAX" fld="8" baseField="0" baseItem="0"/>
    <dataField name="Sum of TOTAL PRICE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200000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4:P16" firstHeaderRow="1" firstDataRow="3" firstDataCol="1"/>
  <pivotFields count="12">
    <pivotField showAll="0"/>
    <pivotField axis="axisRow" showAll="0">
      <items count="10">
        <item x="3"/>
        <item x="2"/>
        <item x="4"/>
        <item x="5"/>
        <item x="6"/>
        <item x="1"/>
        <item x="7"/>
        <item x="8"/>
        <item x="0"/>
        <item t="default"/>
      </items>
    </pivotField>
    <pivotField numFmtId="167" showAll="0"/>
    <pivotField axis="axisCol" showAll="0">
      <items count="6">
        <item x="0"/>
        <item x="1"/>
        <item x="2"/>
        <item x="3"/>
        <item x="4"/>
        <item t="default"/>
      </items>
    </pivotField>
    <pivotField numFmtId="166" showAll="0"/>
    <pivotField showAll="0"/>
    <pivotField showAll="0"/>
    <pivotField showAll="0"/>
    <pivotField dataField="1" numFmtId="166" showAll="0"/>
    <pivotField dataField="1" numFmtId="166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3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um of TOTAL PAX" fld="8" baseField="0" baseItem="0"/>
    <dataField name="Sum of TOTAL PRICE" fld="9" baseField="0" baseItem="0"/>
  </dataFields>
  <chartFormats count="15">
    <chartFormat chart="0" format="1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1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1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14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300000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4:O16" firstHeaderRow="1" firstDataRow="3" firstDataCol="1"/>
  <pivotFields count="10">
    <pivotField showAll="0"/>
    <pivotField axis="axisRow" showAll="0">
      <items count="10">
        <item x="3"/>
        <item x="2"/>
        <item x="4"/>
        <item x="5"/>
        <item x="6"/>
        <item x="1"/>
        <item x="7"/>
        <item x="8"/>
        <item x="0"/>
        <item t="default"/>
      </items>
    </pivotField>
    <pivotField numFmtId="167" showAll="0"/>
    <pivotField axis="axisCol" showAll="0">
      <items count="6">
        <item x="0"/>
        <item x="1"/>
        <item x="2"/>
        <item x="3"/>
        <item x="4"/>
        <item t="default"/>
      </items>
    </pivotField>
    <pivotField numFmtId="166" showAll="0"/>
    <pivotField showAll="0"/>
    <pivotField showAll="0"/>
    <pivotField showAll="0"/>
    <pivotField dataField="1" numFmtId="166" showAll="0"/>
    <pivotField dataField="1" numFmtId="166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3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um of TOTAL PAX" fld="8" baseField="0" baseItem="0"/>
    <dataField name="Sum of TOTAL PRICE" fld="9" baseField="0" baseItem="0"/>
  </dataFields>
  <chartFormats count="15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 /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 /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 /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 /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 /><Relationship Id="rId1" Type="http://schemas.openxmlformats.org/officeDocument/2006/relationships/printerSettings" Target="../printerSettings/printerSettings11.bin" 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 /><Relationship Id="rId1" Type="http://schemas.openxmlformats.org/officeDocument/2006/relationships/printerSettings" Target="../printerSettings/printerSettings12.bin" 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 /><Relationship Id="rId1" Type="http://schemas.openxmlformats.org/officeDocument/2006/relationships/printerSettings" Target="../printerSettings/printerSettings13.bin" 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 /><Relationship Id="rId1" Type="http://schemas.openxmlformats.org/officeDocument/2006/relationships/pivotTable" Target="../pivotTables/pivotTable3.xml" 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 /><Relationship Id="rId1" Type="http://schemas.openxmlformats.org/officeDocument/2006/relationships/pivotTable" Target="../pivotTables/pivotTable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6"/>
  <sheetViews>
    <sheetView showGridLines="0" workbookViewId="0">
      <selection activeCell="C6" sqref="C6"/>
    </sheetView>
  </sheetViews>
  <sheetFormatPr defaultRowHeight="15" x14ac:dyDescent="0.2"/>
  <cols>
    <col min="1" max="1" width="18.96484375" bestFit="1" customWidth="1"/>
    <col min="2" max="2" width="18.83203125" bestFit="1" customWidth="1"/>
    <col min="3" max="3" width="20.3125" bestFit="1" customWidth="1"/>
    <col min="4" max="4" width="6.9921875" bestFit="1" customWidth="1"/>
    <col min="5" max="5" width="7.26171875" bestFit="1" customWidth="1"/>
    <col min="6" max="6" width="14.390625" bestFit="1" customWidth="1"/>
    <col min="7" max="7" width="6.9921875" bestFit="1" customWidth="1"/>
    <col min="8" max="8" width="9.01171875" bestFit="1" customWidth="1"/>
    <col min="9" max="9" width="10.4921875" bestFit="1" customWidth="1"/>
    <col min="10" max="10" width="20.3125" bestFit="1" customWidth="1"/>
    <col min="11" max="11" width="15.46875" bestFit="1" customWidth="1"/>
    <col min="12" max="13" width="11.56640625" bestFit="1" customWidth="1"/>
    <col min="14" max="14" width="14.390625" bestFit="1" customWidth="1"/>
    <col min="15" max="15" width="12.5078125" bestFit="1" customWidth="1"/>
    <col min="16" max="16" width="10.4921875" bestFit="1" customWidth="1"/>
    <col min="17" max="17" width="14.390625" bestFit="1" customWidth="1"/>
    <col min="18" max="18" width="23.9453125" bestFit="1" customWidth="1"/>
    <col min="19" max="19" width="25.2890625" bestFit="1" customWidth="1"/>
  </cols>
  <sheetData>
    <row r="3" spans="1:3" x14ac:dyDescent="0.2">
      <c r="A3" s="3" t="s">
        <v>14</v>
      </c>
      <c r="B3" s="2" t="s">
        <v>20</v>
      </c>
      <c r="C3" s="2" t="s">
        <v>21</v>
      </c>
    </row>
    <row r="4" spans="1:3" x14ac:dyDescent="0.2">
      <c r="A4" s="4" t="s">
        <v>19</v>
      </c>
      <c r="B4" s="2">
        <v>2447</v>
      </c>
      <c r="C4" s="2">
        <v>242253000</v>
      </c>
    </row>
    <row r="5" spans="1:3" x14ac:dyDescent="0.2">
      <c r="A5" s="5" t="s">
        <v>8</v>
      </c>
      <c r="B5" s="2">
        <v>323</v>
      </c>
      <c r="C5" s="2">
        <v>31977000</v>
      </c>
    </row>
    <row r="6" spans="1:3" x14ac:dyDescent="0.2">
      <c r="A6" s="5" t="s">
        <v>4</v>
      </c>
      <c r="B6" s="2">
        <v>2124</v>
      </c>
      <c r="C6" s="2">
        <v>210276000</v>
      </c>
    </row>
    <row r="7" spans="1:3" x14ac:dyDescent="0.2">
      <c r="A7" s="4" t="s">
        <v>18</v>
      </c>
      <c r="B7" s="2">
        <v>4414</v>
      </c>
      <c r="C7" s="2">
        <v>439434000</v>
      </c>
    </row>
    <row r="8" spans="1:3" x14ac:dyDescent="0.2">
      <c r="A8" s="5" t="s">
        <v>5</v>
      </c>
      <c r="B8" s="2">
        <v>48</v>
      </c>
      <c r="C8" s="2">
        <v>7200000</v>
      </c>
    </row>
    <row r="9" spans="1:3" x14ac:dyDescent="0.2">
      <c r="A9" s="5" t="s">
        <v>8</v>
      </c>
      <c r="B9" s="2">
        <v>705</v>
      </c>
      <c r="C9" s="2">
        <v>69795000</v>
      </c>
    </row>
    <row r="10" spans="1:3" x14ac:dyDescent="0.2">
      <c r="A10" s="5" t="s">
        <v>4</v>
      </c>
      <c r="B10" s="2">
        <v>3661</v>
      </c>
      <c r="C10" s="2">
        <v>362439000</v>
      </c>
    </row>
    <row r="11" spans="1:3" x14ac:dyDescent="0.2">
      <c r="A11" s="4" t="s">
        <v>16</v>
      </c>
      <c r="B11" s="2">
        <v>3948</v>
      </c>
      <c r="C11" s="2">
        <v>462832000</v>
      </c>
    </row>
    <row r="12" spans="1:3" x14ac:dyDescent="0.2">
      <c r="A12" s="5" t="s">
        <v>7</v>
      </c>
      <c r="B12" s="2">
        <v>27</v>
      </c>
      <c r="C12" s="2">
        <v>3510000</v>
      </c>
    </row>
    <row r="13" spans="1:3" x14ac:dyDescent="0.2">
      <c r="A13" s="5" t="s">
        <v>5</v>
      </c>
      <c r="B13" s="2">
        <v>89</v>
      </c>
      <c r="C13" s="2">
        <v>13350000</v>
      </c>
    </row>
    <row r="14" spans="1:3" x14ac:dyDescent="0.2">
      <c r="A14" s="5" t="s">
        <v>6</v>
      </c>
      <c r="B14" s="2">
        <v>58</v>
      </c>
      <c r="C14" s="2">
        <v>7540000</v>
      </c>
    </row>
    <row r="15" spans="1:3" x14ac:dyDescent="0.2">
      <c r="A15" s="5" t="s">
        <v>8</v>
      </c>
      <c r="B15" s="2">
        <v>488</v>
      </c>
      <c r="C15" s="2">
        <v>56586000</v>
      </c>
    </row>
    <row r="16" spans="1:3" x14ac:dyDescent="0.2">
      <c r="A16" s="5" t="s">
        <v>4</v>
      </c>
      <c r="B16" s="2">
        <v>3286</v>
      </c>
      <c r="C16" s="2">
        <v>381846000</v>
      </c>
    </row>
    <row r="17" spans="1:3" x14ac:dyDescent="0.2">
      <c r="A17" s="4" t="s">
        <v>17</v>
      </c>
      <c r="B17" s="2">
        <v>3247</v>
      </c>
      <c r="C17" s="2">
        <v>394113340</v>
      </c>
    </row>
    <row r="18" spans="1:3" x14ac:dyDescent="0.2">
      <c r="A18" s="5" t="s">
        <v>7</v>
      </c>
      <c r="B18" s="2">
        <v>59</v>
      </c>
      <c r="C18" s="2">
        <v>7670000</v>
      </c>
    </row>
    <row r="19" spans="1:3" x14ac:dyDescent="0.2">
      <c r="A19" s="5" t="s">
        <v>5</v>
      </c>
      <c r="B19" s="2">
        <v>78</v>
      </c>
      <c r="C19" s="2">
        <v>11700000</v>
      </c>
    </row>
    <row r="20" spans="1:3" x14ac:dyDescent="0.2">
      <c r="A20" s="5" t="s">
        <v>6</v>
      </c>
      <c r="B20" s="2">
        <v>160</v>
      </c>
      <c r="C20" s="2">
        <v>20800000</v>
      </c>
    </row>
    <row r="21" spans="1:3" x14ac:dyDescent="0.2">
      <c r="A21" s="5" t="s">
        <v>11</v>
      </c>
      <c r="B21" s="2">
        <v>99</v>
      </c>
      <c r="C21" s="2">
        <v>12870000</v>
      </c>
    </row>
    <row r="22" spans="1:3" x14ac:dyDescent="0.2">
      <c r="A22" s="5" t="s">
        <v>12</v>
      </c>
      <c r="B22" s="2">
        <v>943</v>
      </c>
      <c r="C22" s="2">
        <v>122590000</v>
      </c>
    </row>
    <row r="23" spans="1:3" x14ac:dyDescent="0.2">
      <c r="A23" s="5" t="s">
        <v>8</v>
      </c>
      <c r="B23" s="2">
        <v>469</v>
      </c>
      <c r="C23" s="2">
        <v>53568040</v>
      </c>
    </row>
    <row r="24" spans="1:3" x14ac:dyDescent="0.2">
      <c r="A24" s="5" t="s">
        <v>13</v>
      </c>
      <c r="B24" s="2">
        <v>40</v>
      </c>
      <c r="C24" s="2">
        <v>4400000</v>
      </c>
    </row>
    <row r="25" spans="1:3" x14ac:dyDescent="0.2">
      <c r="A25" s="5" t="s">
        <v>4</v>
      </c>
      <c r="B25" s="2">
        <v>1399</v>
      </c>
      <c r="C25" s="2">
        <v>160515300</v>
      </c>
    </row>
    <row r="26" spans="1:3" x14ac:dyDescent="0.2">
      <c r="A26" s="4" t="s">
        <v>15</v>
      </c>
      <c r="B26" s="2">
        <v>14056</v>
      </c>
      <c r="C26" s="2">
        <v>1538632340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37"/>
  <sheetViews>
    <sheetView workbookViewId="0">
      <selection activeCell="C20" sqref="C20"/>
    </sheetView>
  </sheetViews>
  <sheetFormatPr defaultRowHeight="15" x14ac:dyDescent="0.2"/>
  <cols>
    <col min="2" max="2" width="17.484375" bestFit="1" customWidth="1"/>
    <col min="3" max="3" width="17.484375" style="1" bestFit="1" customWidth="1"/>
    <col min="4" max="4" width="18.83203125" style="1" bestFit="1" customWidth="1"/>
  </cols>
  <sheetData>
    <row r="3" spans="2:4" x14ac:dyDescent="0.2">
      <c r="B3" s="6" t="s">
        <v>14</v>
      </c>
      <c r="C3" s="1" t="s">
        <v>20</v>
      </c>
      <c r="D3" s="1" t="s">
        <v>21</v>
      </c>
    </row>
    <row r="4" spans="2:4" x14ac:dyDescent="0.2">
      <c r="B4" s="7" t="s">
        <v>1</v>
      </c>
      <c r="C4" s="1">
        <v>2447</v>
      </c>
      <c r="D4" s="1">
        <v>242253000</v>
      </c>
    </row>
    <row r="5" spans="2:4" x14ac:dyDescent="0.2">
      <c r="B5" s="8" t="s">
        <v>8</v>
      </c>
      <c r="C5" s="1">
        <v>323</v>
      </c>
      <c r="D5" s="1">
        <v>31977000</v>
      </c>
    </row>
    <row r="6" spans="2:4" x14ac:dyDescent="0.2">
      <c r="B6" s="8" t="s">
        <v>4</v>
      </c>
      <c r="C6" s="1">
        <v>2124</v>
      </c>
      <c r="D6" s="1">
        <v>210276000</v>
      </c>
    </row>
    <row r="7" spans="2:4" x14ac:dyDescent="0.2">
      <c r="B7" s="7" t="s">
        <v>3</v>
      </c>
      <c r="C7" s="1">
        <v>4414</v>
      </c>
      <c r="D7" s="1">
        <v>439434000</v>
      </c>
    </row>
    <row r="8" spans="2:4" x14ac:dyDescent="0.2">
      <c r="B8" s="8" t="s">
        <v>5</v>
      </c>
      <c r="C8" s="1">
        <v>48</v>
      </c>
      <c r="D8" s="1">
        <v>7200000</v>
      </c>
    </row>
    <row r="9" spans="2:4" x14ac:dyDescent="0.2">
      <c r="B9" s="8" t="s">
        <v>8</v>
      </c>
      <c r="C9" s="1">
        <v>705</v>
      </c>
      <c r="D9" s="1">
        <v>69795000</v>
      </c>
    </row>
    <row r="10" spans="2:4" x14ac:dyDescent="0.2">
      <c r="B10" s="8" t="s">
        <v>4</v>
      </c>
      <c r="C10" s="1">
        <v>3661</v>
      </c>
      <c r="D10" s="1">
        <v>362439000</v>
      </c>
    </row>
    <row r="11" spans="2:4" x14ac:dyDescent="0.2">
      <c r="B11" s="7" t="s">
        <v>9</v>
      </c>
      <c r="C11" s="1">
        <v>3947</v>
      </c>
      <c r="D11" s="1">
        <v>462702000</v>
      </c>
    </row>
    <row r="12" spans="2:4" x14ac:dyDescent="0.2">
      <c r="B12" s="8" t="s">
        <v>7</v>
      </c>
      <c r="C12" s="1">
        <v>27</v>
      </c>
      <c r="D12" s="1">
        <v>3510000</v>
      </c>
    </row>
    <row r="13" spans="2:4" x14ac:dyDescent="0.2">
      <c r="B13" s="8" t="s">
        <v>5</v>
      </c>
      <c r="C13" s="1">
        <v>89</v>
      </c>
      <c r="D13" s="1">
        <v>13350000</v>
      </c>
    </row>
    <row r="14" spans="2:4" x14ac:dyDescent="0.2">
      <c r="B14" s="8" t="s">
        <v>6</v>
      </c>
      <c r="C14" s="1">
        <v>57</v>
      </c>
      <c r="D14" s="1">
        <v>7410000</v>
      </c>
    </row>
    <row r="15" spans="2:4" x14ac:dyDescent="0.2">
      <c r="B15" s="8" t="s">
        <v>8</v>
      </c>
      <c r="C15" s="1">
        <v>488</v>
      </c>
      <c r="D15" s="1">
        <v>56586000</v>
      </c>
    </row>
    <row r="16" spans="2:4" x14ac:dyDescent="0.2">
      <c r="B16" s="8" t="s">
        <v>4</v>
      </c>
      <c r="C16" s="1">
        <v>3286</v>
      </c>
      <c r="D16" s="1">
        <v>381846000</v>
      </c>
    </row>
    <row r="17" spans="2:4" x14ac:dyDescent="0.2">
      <c r="B17" s="7" t="s">
        <v>10</v>
      </c>
      <c r="C17" s="1">
        <v>4721</v>
      </c>
      <c r="D17" s="1">
        <v>580973340</v>
      </c>
    </row>
    <row r="18" spans="2:4" x14ac:dyDescent="0.2">
      <c r="B18" s="8" t="s">
        <v>7</v>
      </c>
      <c r="C18" s="1">
        <v>62</v>
      </c>
      <c r="D18" s="1">
        <v>8060000</v>
      </c>
    </row>
    <row r="19" spans="2:4" x14ac:dyDescent="0.2">
      <c r="B19" s="8" t="s">
        <v>5</v>
      </c>
      <c r="C19" s="1">
        <v>129</v>
      </c>
      <c r="D19" s="1">
        <v>19350000</v>
      </c>
    </row>
    <row r="20" spans="2:4" x14ac:dyDescent="0.2">
      <c r="B20" s="8" t="s">
        <v>6</v>
      </c>
      <c r="C20" s="1">
        <v>239</v>
      </c>
      <c r="D20" s="1">
        <v>31070000</v>
      </c>
    </row>
    <row r="21" spans="2:4" x14ac:dyDescent="0.2">
      <c r="B21" s="8" t="s">
        <v>11</v>
      </c>
      <c r="C21" s="1">
        <v>130</v>
      </c>
      <c r="D21" s="1">
        <v>16900000</v>
      </c>
    </row>
    <row r="22" spans="2:4" x14ac:dyDescent="0.2">
      <c r="B22" s="8" t="s">
        <v>12</v>
      </c>
      <c r="C22" s="1">
        <v>1529</v>
      </c>
      <c r="D22" s="1">
        <v>198770000</v>
      </c>
    </row>
    <row r="23" spans="2:4" x14ac:dyDescent="0.2">
      <c r="B23" s="8" t="s">
        <v>8</v>
      </c>
      <c r="C23" s="1">
        <v>528</v>
      </c>
      <c r="D23" s="1">
        <v>60658040</v>
      </c>
    </row>
    <row r="24" spans="2:4" x14ac:dyDescent="0.2">
      <c r="B24" s="8" t="s">
        <v>13</v>
      </c>
      <c r="C24" s="1">
        <v>40</v>
      </c>
      <c r="D24" s="1">
        <v>4400000</v>
      </c>
    </row>
    <row r="25" spans="2:4" x14ac:dyDescent="0.2">
      <c r="B25" s="8" t="s">
        <v>22</v>
      </c>
      <c r="C25" s="1">
        <v>7</v>
      </c>
      <c r="D25" s="1">
        <v>4500000</v>
      </c>
    </row>
    <row r="26" spans="2:4" x14ac:dyDescent="0.2">
      <c r="B26" s="8" t="s">
        <v>4</v>
      </c>
      <c r="C26" s="1">
        <v>2057</v>
      </c>
      <c r="D26" s="1">
        <v>237265300</v>
      </c>
    </row>
    <row r="27" spans="2:4" x14ac:dyDescent="0.2">
      <c r="B27" s="7" t="s">
        <v>0</v>
      </c>
      <c r="C27" s="1">
        <v>1784</v>
      </c>
      <c r="D27" s="1">
        <v>223370000</v>
      </c>
    </row>
    <row r="28" spans="2:4" x14ac:dyDescent="0.2">
      <c r="B28" s="8" t="s">
        <v>7</v>
      </c>
      <c r="C28" s="1">
        <v>16</v>
      </c>
      <c r="D28" s="1">
        <v>2080000</v>
      </c>
    </row>
    <row r="29" spans="2:4" x14ac:dyDescent="0.2">
      <c r="B29" s="8" t="s">
        <v>5</v>
      </c>
      <c r="C29" s="1">
        <v>32</v>
      </c>
      <c r="D29" s="1">
        <v>4800000</v>
      </c>
    </row>
    <row r="30" spans="2:4" x14ac:dyDescent="0.2">
      <c r="B30" s="8" t="s">
        <v>6</v>
      </c>
      <c r="C30" s="1">
        <v>114</v>
      </c>
      <c r="D30" s="1">
        <v>14820000</v>
      </c>
    </row>
    <row r="31" spans="2:4" x14ac:dyDescent="0.2">
      <c r="B31" s="8" t="s">
        <v>11</v>
      </c>
      <c r="C31" s="1">
        <v>51</v>
      </c>
      <c r="D31" s="1">
        <v>6630000</v>
      </c>
    </row>
    <row r="32" spans="2:4" x14ac:dyDescent="0.2">
      <c r="B32" s="8" t="s">
        <v>12</v>
      </c>
      <c r="C32" s="1">
        <v>634</v>
      </c>
      <c r="D32" s="1">
        <v>82420000</v>
      </c>
    </row>
    <row r="33" spans="2:4" x14ac:dyDescent="0.2">
      <c r="B33" s="8" t="s">
        <v>8</v>
      </c>
      <c r="C33" s="1">
        <v>76</v>
      </c>
      <c r="D33" s="1">
        <v>9120000</v>
      </c>
    </row>
    <row r="34" spans="2:4" x14ac:dyDescent="0.2">
      <c r="B34" s="8" t="s">
        <v>13</v>
      </c>
      <c r="C34" s="1">
        <v>16</v>
      </c>
      <c r="D34" s="1">
        <v>1760000</v>
      </c>
    </row>
    <row r="35" spans="2:4" x14ac:dyDescent="0.2">
      <c r="B35" s="8" t="s">
        <v>22</v>
      </c>
      <c r="C35" s="1">
        <v>3</v>
      </c>
      <c r="D35" s="1">
        <v>2000000</v>
      </c>
    </row>
    <row r="36" spans="2:4" x14ac:dyDescent="0.2">
      <c r="B36" s="8" t="s">
        <v>4</v>
      </c>
      <c r="C36" s="1">
        <v>842</v>
      </c>
      <c r="D36" s="1">
        <v>99740000</v>
      </c>
    </row>
    <row r="37" spans="2:4" x14ac:dyDescent="0.2">
      <c r="B37" s="7" t="s">
        <v>15</v>
      </c>
      <c r="C37" s="1">
        <v>17313</v>
      </c>
      <c r="D37" s="1">
        <v>1948732340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04"/>
  <sheetViews>
    <sheetView tabSelected="1" zoomScale="105" workbookViewId="0">
      <pane xSplit="2" topLeftCell="C1" activePane="topRight" state="frozen"/>
      <selection pane="topRight" activeCell="C4" sqref="C4"/>
    </sheetView>
  </sheetViews>
  <sheetFormatPr defaultColWidth="14.390625" defaultRowHeight="15" customHeight="1" x14ac:dyDescent="0.2"/>
  <cols>
    <col min="1" max="1" width="51.38671875" style="11" customWidth="1"/>
    <col min="2" max="2" width="40.48828125" style="11" customWidth="1"/>
    <col min="3" max="3" width="22.59765625" style="11" customWidth="1"/>
    <col min="4" max="10" width="20.984375" style="11" customWidth="1"/>
    <col min="11" max="14" width="22.05859375" style="11" customWidth="1"/>
    <col min="15" max="15" width="22.46484375" style="11" customWidth="1"/>
    <col min="16" max="25" width="7.93359375" style="11" customWidth="1"/>
    <col min="26" max="16384" width="14.390625" style="11"/>
  </cols>
  <sheetData>
    <row r="1" spans="1:15" ht="28.5" customHeight="1" x14ac:dyDescent="0.4">
      <c r="A1" s="9" t="s">
        <v>180</v>
      </c>
      <c r="B1" s="10"/>
    </row>
    <row r="2" spans="1:15" x14ac:dyDescent="0.2">
      <c r="A2" s="12"/>
      <c r="B2" s="12"/>
    </row>
    <row r="3" spans="1:15" x14ac:dyDescent="0.2">
      <c r="A3" s="52" t="s">
        <v>39</v>
      </c>
      <c r="B3" s="54" t="s">
        <v>27</v>
      </c>
      <c r="C3" s="56" t="s">
        <v>182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8"/>
      <c r="O3" s="50" t="s">
        <v>28</v>
      </c>
    </row>
    <row r="4" spans="1:15" x14ac:dyDescent="0.2">
      <c r="A4" s="53"/>
      <c r="B4" s="55"/>
      <c r="C4" s="17" t="s">
        <v>29</v>
      </c>
      <c r="D4" s="17" t="s">
        <v>30</v>
      </c>
      <c r="E4" s="17" t="s">
        <v>31</v>
      </c>
      <c r="F4" s="17" t="s">
        <v>2</v>
      </c>
      <c r="G4" s="17" t="s">
        <v>32</v>
      </c>
      <c r="H4" s="17" t="s">
        <v>33</v>
      </c>
      <c r="I4" s="17" t="s">
        <v>34</v>
      </c>
      <c r="J4" s="17" t="s">
        <v>35</v>
      </c>
      <c r="K4" s="17" t="s">
        <v>0</v>
      </c>
      <c r="L4" s="17" t="s">
        <v>36</v>
      </c>
      <c r="M4" s="17" t="s">
        <v>37</v>
      </c>
      <c r="N4" s="17" t="s">
        <v>38</v>
      </c>
      <c r="O4" s="51"/>
    </row>
    <row r="5" spans="1:15" x14ac:dyDescent="0.2">
      <c r="A5" s="59" t="s">
        <v>86</v>
      </c>
      <c r="B5" s="33" t="s">
        <v>74</v>
      </c>
      <c r="C5" s="14">
        <f>JANUARI!D16</f>
        <v>6670000</v>
      </c>
      <c r="D5" s="14">
        <f>FEB!D16</f>
        <v>7200000</v>
      </c>
      <c r="E5" s="14">
        <f>MAR!D16</f>
        <v>8430000</v>
      </c>
      <c r="F5" s="14">
        <f>APR!D16</f>
        <v>6375000</v>
      </c>
      <c r="G5" s="14">
        <f>MEI!D16</f>
        <v>6810000</v>
      </c>
      <c r="H5" s="14">
        <f>JUNI!E19</f>
        <v>7150000</v>
      </c>
      <c r="I5" s="14">
        <f>JULI!E19</f>
        <v>0</v>
      </c>
      <c r="J5" s="14">
        <f>AGUSTUS!E19</f>
        <v>0</v>
      </c>
      <c r="K5" s="14">
        <f>SEPTEMBER!D16</f>
        <v>0</v>
      </c>
      <c r="L5" s="14">
        <f>OKTOBER!E19</f>
        <v>0</v>
      </c>
      <c r="M5" s="14">
        <f>NOVEMBER!E19</f>
        <v>0</v>
      </c>
      <c r="N5" s="14">
        <f>DESEMBER!D16</f>
        <v>0</v>
      </c>
      <c r="O5" s="14">
        <f>SUM(C5:N5)</f>
        <v>42635000</v>
      </c>
    </row>
    <row r="6" spans="1:15" x14ac:dyDescent="0.2">
      <c r="A6" s="60"/>
      <c r="B6" s="33" t="s">
        <v>73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</row>
    <row r="7" spans="1:15" x14ac:dyDescent="0.2">
      <c r="A7" s="60"/>
      <c r="B7" s="32" t="s">
        <v>69</v>
      </c>
      <c r="C7" s="15">
        <f>JANUARI!F20</f>
        <v>1484000</v>
      </c>
      <c r="D7" s="15">
        <f>FEB!F20</f>
        <v>1456000</v>
      </c>
      <c r="E7" s="15">
        <f>MAR!F20</f>
        <v>1484000</v>
      </c>
      <c r="F7" s="15">
        <f>APR!F20</f>
        <v>1456000</v>
      </c>
      <c r="G7" s="15">
        <f>MEI!F20</f>
        <v>1428000</v>
      </c>
      <c r="H7" s="15">
        <f>JUNI!F20</f>
        <v>1428000</v>
      </c>
      <c r="I7" s="15">
        <f>JULI!F20</f>
        <v>0</v>
      </c>
      <c r="J7" s="15">
        <f>AGUSTUS!F20</f>
        <v>0</v>
      </c>
      <c r="K7" s="15">
        <f>SEPTEMBER!F20</f>
        <v>0</v>
      </c>
      <c r="L7" s="15">
        <f>OKTOBER!F20</f>
        <v>0</v>
      </c>
      <c r="M7" s="16">
        <f>NOVEMBER!F20</f>
        <v>0</v>
      </c>
      <c r="N7" s="16">
        <f>DESEMBER!F20</f>
        <v>0</v>
      </c>
      <c r="O7" s="14">
        <f t="shared" ref="O7:O19" si="0">SUM(C7:N7)</f>
        <v>8736000</v>
      </c>
    </row>
    <row r="8" spans="1:15" x14ac:dyDescent="0.2">
      <c r="A8" s="60"/>
      <c r="B8" s="32" t="s">
        <v>70</v>
      </c>
      <c r="C8" s="15">
        <f>JANUARI!F21</f>
        <v>1980000</v>
      </c>
      <c r="D8" s="15">
        <f>FEB!F21</f>
        <v>1950000</v>
      </c>
      <c r="E8" s="15">
        <f>MAR!F21</f>
        <v>1980000</v>
      </c>
      <c r="F8" s="15">
        <f>APR!F21</f>
        <v>1950000</v>
      </c>
      <c r="G8" s="15">
        <f>MEI!F21</f>
        <v>1920000</v>
      </c>
      <c r="H8" s="15">
        <f>JUNI!F21</f>
        <v>1920000</v>
      </c>
      <c r="I8" s="15">
        <f>JULI!F21</f>
        <v>0</v>
      </c>
      <c r="J8" s="15">
        <f>AGUSTUS!F21</f>
        <v>0</v>
      </c>
      <c r="K8" s="15">
        <f>SEPTEMBER!F21</f>
        <v>0</v>
      </c>
      <c r="L8" s="15">
        <f>OKTOBER!F21</f>
        <v>0</v>
      </c>
      <c r="M8" s="16">
        <f>NOVEMBER!F21</f>
        <v>0</v>
      </c>
      <c r="N8" s="16">
        <f>DESEMBER!F21</f>
        <v>0</v>
      </c>
      <c r="O8" s="14">
        <f t="shared" si="0"/>
        <v>11700000</v>
      </c>
    </row>
    <row r="9" spans="1:15" x14ac:dyDescent="0.2">
      <c r="A9" s="60"/>
      <c r="B9" s="32" t="s">
        <v>71</v>
      </c>
      <c r="C9" s="15">
        <f>JANUARI!F22</f>
        <v>660000</v>
      </c>
      <c r="D9" s="15">
        <f>FEB!F22</f>
        <v>650000</v>
      </c>
      <c r="E9" s="15">
        <f>MAR!F22</f>
        <v>660000</v>
      </c>
      <c r="F9" s="15">
        <f>APR!F22</f>
        <v>650000</v>
      </c>
      <c r="G9" s="15">
        <f>MEI!F22</f>
        <v>640000</v>
      </c>
      <c r="H9" s="15">
        <f>JUNI!F22</f>
        <v>640000</v>
      </c>
      <c r="I9" s="15">
        <f>JULI!F22</f>
        <v>0</v>
      </c>
      <c r="J9" s="15">
        <f>AGUSTUS!F22</f>
        <v>0</v>
      </c>
      <c r="K9" s="15">
        <f>SEPTEMBER!F22</f>
        <v>0</v>
      </c>
      <c r="L9" s="15">
        <f>OKTOBER!F22</f>
        <v>0</v>
      </c>
      <c r="M9" s="16">
        <f>NOVEMBER!F22</f>
        <v>0</v>
      </c>
      <c r="N9" s="16">
        <f>DESEMBER!F22</f>
        <v>0</v>
      </c>
      <c r="O9" s="14">
        <f t="shared" si="0"/>
        <v>3900000</v>
      </c>
    </row>
    <row r="10" spans="1:15" x14ac:dyDescent="0.2">
      <c r="A10" s="60"/>
      <c r="B10" s="32" t="s">
        <v>72</v>
      </c>
      <c r="C10" s="15">
        <f>JANUARI!F23</f>
        <v>372000</v>
      </c>
      <c r="D10" s="15">
        <f>FEB!F23</f>
        <v>372000</v>
      </c>
      <c r="E10" s="15">
        <f>MAR!F23</f>
        <v>372000</v>
      </c>
      <c r="F10" s="15">
        <f>APR!F23</f>
        <v>372000</v>
      </c>
      <c r="G10" s="15">
        <f>MEI!F23</f>
        <v>366000</v>
      </c>
      <c r="H10" s="15">
        <f>JUNI!F23</f>
        <v>366000</v>
      </c>
      <c r="I10" s="15">
        <f>JULI!F23</f>
        <v>0</v>
      </c>
      <c r="J10" s="15">
        <f>AGUSTUS!F23</f>
        <v>0</v>
      </c>
      <c r="K10" s="15">
        <f>SEPTEMBER!F23</f>
        <v>0</v>
      </c>
      <c r="L10" s="15">
        <f>OKTOBER!F23</f>
        <v>0</v>
      </c>
      <c r="M10" s="16">
        <f>NOVEMBER!F23</f>
        <v>0</v>
      </c>
      <c r="N10" s="16">
        <f>DESEMBER!F23</f>
        <v>0</v>
      </c>
      <c r="O10" s="14">
        <f t="shared" si="0"/>
        <v>2220000</v>
      </c>
    </row>
    <row r="11" spans="1:15" x14ac:dyDescent="0.2">
      <c r="A11" s="60"/>
      <c r="B11" s="32" t="s">
        <v>83</v>
      </c>
      <c r="C11" s="15">
        <f>JANUARI!F24</f>
        <v>300000</v>
      </c>
      <c r="D11" s="15">
        <f>FEB!F24</f>
        <v>295000</v>
      </c>
      <c r="E11" s="15">
        <f>MAR!F24</f>
        <v>300000</v>
      </c>
      <c r="F11" s="15">
        <f>APR!F24</f>
        <v>300000</v>
      </c>
      <c r="G11" s="15">
        <f>MEI!F24</f>
        <v>295000</v>
      </c>
      <c r="H11" s="15">
        <f>JUNI!F24</f>
        <v>295000</v>
      </c>
      <c r="I11" s="15">
        <f>JULI!F24</f>
        <v>0</v>
      </c>
      <c r="J11" s="15">
        <f>AGUSTUS!F24</f>
        <v>0</v>
      </c>
      <c r="K11" s="15">
        <f>SEPTEMBER!F24</f>
        <v>0</v>
      </c>
      <c r="L11" s="15">
        <f>OKTOBER!F24</f>
        <v>0</v>
      </c>
      <c r="M11" s="16">
        <f>NOVEMBER!F24</f>
        <v>0</v>
      </c>
      <c r="N11" s="16">
        <f>DESEMBER!F24</f>
        <v>0</v>
      </c>
      <c r="O11" s="14">
        <f t="shared" si="0"/>
        <v>1785000</v>
      </c>
    </row>
    <row r="12" spans="1:15" x14ac:dyDescent="0.2">
      <c r="A12" s="60"/>
      <c r="B12" s="32" t="s">
        <v>76</v>
      </c>
      <c r="C12" s="15">
        <f>JANUARI!F25</f>
        <v>300000</v>
      </c>
      <c r="D12" s="15">
        <f>FEB!F25</f>
        <v>295000</v>
      </c>
      <c r="E12" s="15">
        <f>MAR!F25</f>
        <v>300000</v>
      </c>
      <c r="F12" s="15">
        <f>APR!F25</f>
        <v>300000</v>
      </c>
      <c r="G12" s="15">
        <f>MEI!F25</f>
        <v>295000</v>
      </c>
      <c r="H12" s="15">
        <f>JUNI!F25</f>
        <v>295000</v>
      </c>
      <c r="I12" s="15">
        <f>JULI!F25</f>
        <v>0</v>
      </c>
      <c r="J12" s="15">
        <f>AGUSTUS!F25</f>
        <v>0</v>
      </c>
      <c r="K12" s="15">
        <f>SEPTEMBER!F25</f>
        <v>0</v>
      </c>
      <c r="L12" s="15">
        <f>OKTOBER!F25</f>
        <v>0</v>
      </c>
      <c r="M12" s="15">
        <f>NOVEMBER!F25</f>
        <v>0</v>
      </c>
      <c r="N12" s="16">
        <f>DESEMBER!F25</f>
        <v>0</v>
      </c>
      <c r="O12" s="14">
        <f t="shared" si="0"/>
        <v>1785000</v>
      </c>
    </row>
    <row r="13" spans="1:15" x14ac:dyDescent="0.2">
      <c r="A13" s="60"/>
      <c r="B13" s="32" t="s">
        <v>77</v>
      </c>
      <c r="C13" s="15">
        <f>JANUARI!F26</f>
        <v>198000</v>
      </c>
      <c r="D13" s="15">
        <f>FEB!F26</f>
        <v>195000</v>
      </c>
      <c r="E13" s="15">
        <f>MAR!F26</f>
        <v>198000</v>
      </c>
      <c r="F13" s="15">
        <f>APR!F26</f>
        <v>195000</v>
      </c>
      <c r="G13" s="15">
        <f>MEI!F26</f>
        <v>192000</v>
      </c>
      <c r="H13" s="15">
        <f>JUNI!F26</f>
        <v>192000</v>
      </c>
      <c r="I13" s="15">
        <f>JULI!F26</f>
        <v>0</v>
      </c>
      <c r="J13" s="15">
        <f>AGUSTUS!F26</f>
        <v>0</v>
      </c>
      <c r="K13" s="15">
        <f>SEPTEMBER!F26</f>
        <v>0</v>
      </c>
      <c r="L13" s="15">
        <f>OKTOBER!F26</f>
        <v>0</v>
      </c>
      <c r="M13" s="15">
        <f>NOVEMBER!F26</f>
        <v>0</v>
      </c>
      <c r="N13" s="16">
        <f>DESEMBER!F26</f>
        <v>0</v>
      </c>
      <c r="O13" s="14">
        <f t="shared" si="0"/>
        <v>1170000</v>
      </c>
    </row>
    <row r="14" spans="1:15" x14ac:dyDescent="0.2">
      <c r="A14" s="60"/>
      <c r="B14" s="32" t="s">
        <v>78</v>
      </c>
      <c r="C14" s="15">
        <f>JANUARI!F27</f>
        <v>198000</v>
      </c>
      <c r="D14" s="15">
        <f>FEB!F27</f>
        <v>195000</v>
      </c>
      <c r="E14" s="15">
        <f>MAR!F27</f>
        <v>198000</v>
      </c>
      <c r="F14" s="15">
        <f>APR!F27</f>
        <v>195000</v>
      </c>
      <c r="G14" s="15">
        <f>MEI!F27</f>
        <v>192000</v>
      </c>
      <c r="H14" s="15">
        <f>JUNI!F27</f>
        <v>192000</v>
      </c>
      <c r="I14" s="15">
        <f>JULI!F27</f>
        <v>0</v>
      </c>
      <c r="J14" s="15">
        <f>AGUSTUS!F27</f>
        <v>0</v>
      </c>
      <c r="K14" s="15">
        <f>SEPTEMBER!F27</f>
        <v>0</v>
      </c>
      <c r="L14" s="15">
        <f>OKTOBER!F27</f>
        <v>0</v>
      </c>
      <c r="M14" s="15">
        <f>NOVEMBER!F27</f>
        <v>0</v>
      </c>
      <c r="N14" s="16">
        <f>DESEMBER!F27</f>
        <v>0</v>
      </c>
      <c r="O14" s="14">
        <f t="shared" si="0"/>
        <v>1170000</v>
      </c>
    </row>
    <row r="15" spans="1:15" x14ac:dyDescent="0.2">
      <c r="A15" s="60"/>
      <c r="B15" s="32" t="s">
        <v>79</v>
      </c>
      <c r="C15" s="15">
        <f>JANUARI!F28</f>
        <v>262000</v>
      </c>
      <c r="D15" s="15">
        <f>FEB!F28</f>
        <v>261000</v>
      </c>
      <c r="E15" s="15">
        <f>MAR!F28</f>
        <v>262000</v>
      </c>
      <c r="F15" s="15">
        <f>APR!F28</f>
        <v>261000</v>
      </c>
      <c r="G15" s="15">
        <f>MEI!F28</f>
        <v>260000</v>
      </c>
      <c r="H15" s="15">
        <f>JUNI!F28</f>
        <v>260000</v>
      </c>
      <c r="I15" s="15">
        <f>JULI!F28</f>
        <v>0</v>
      </c>
      <c r="J15" s="15">
        <f>AGUSTUS!F28</f>
        <v>0</v>
      </c>
      <c r="K15" s="15">
        <f>SEPTEMBER!F28</f>
        <v>0</v>
      </c>
      <c r="L15" s="15">
        <f>OKTOBER!F28</f>
        <v>0</v>
      </c>
      <c r="M15" s="15">
        <f>NOVEMBER!F28</f>
        <v>0</v>
      </c>
      <c r="N15" s="16">
        <f>DESEMBER!F28</f>
        <v>0</v>
      </c>
      <c r="O15" s="14">
        <f t="shared" si="0"/>
        <v>1566000</v>
      </c>
    </row>
    <row r="16" spans="1:15" x14ac:dyDescent="0.2">
      <c r="A16" s="61"/>
      <c r="B16" s="32" t="s">
        <v>92</v>
      </c>
      <c r="C16" s="15">
        <f>JANUARI!F29</f>
        <v>250000</v>
      </c>
      <c r="D16" s="15">
        <f>FEB!F29</f>
        <v>250000</v>
      </c>
      <c r="E16" s="15">
        <f>MAR!F29</f>
        <v>250000</v>
      </c>
      <c r="F16" s="15">
        <f>APR!F29</f>
        <v>250000</v>
      </c>
      <c r="G16" s="15">
        <f>MEI!F29</f>
        <v>250000</v>
      </c>
      <c r="H16" s="15">
        <f>JUNI!F29</f>
        <v>250000</v>
      </c>
      <c r="I16" s="15">
        <f>JULI!F29</f>
        <v>0</v>
      </c>
      <c r="J16" s="15">
        <f>AGUSTUS!F29</f>
        <v>0</v>
      </c>
      <c r="K16" s="15">
        <f>SEPTEMBER!F29</f>
        <v>0</v>
      </c>
      <c r="L16" s="15">
        <f>OKTOBER!F29</f>
        <v>0</v>
      </c>
      <c r="M16" s="15">
        <f>NOVEMBER!F29</f>
        <v>0</v>
      </c>
      <c r="N16" s="16">
        <f>DESEMBER!F29</f>
        <v>0</v>
      </c>
      <c r="O16" s="14">
        <f t="shared" si="0"/>
        <v>1500000</v>
      </c>
    </row>
    <row r="17" spans="1:15" x14ac:dyDescent="0.2">
      <c r="A17" s="61"/>
      <c r="B17" s="32" t="s">
        <v>104</v>
      </c>
      <c r="C17" s="15">
        <f>JANUARI!F30</f>
        <v>250000</v>
      </c>
      <c r="D17" s="15">
        <f>FEB!F30</f>
        <v>250000</v>
      </c>
      <c r="E17" s="15">
        <f>MAR!F30</f>
        <v>250000</v>
      </c>
      <c r="F17" s="15">
        <f>APR!F30</f>
        <v>250000</v>
      </c>
      <c r="G17" s="15">
        <f>MEI!F30</f>
        <v>250000</v>
      </c>
      <c r="H17" s="15">
        <f>JUNI!F30</f>
        <v>250000</v>
      </c>
      <c r="I17" s="15">
        <f>JULI!F30</f>
        <v>0</v>
      </c>
      <c r="J17" s="15">
        <f>AGUSTUS!F30</f>
        <v>0</v>
      </c>
      <c r="K17" s="15">
        <f>SEPTEMBER!F30</f>
        <v>0</v>
      </c>
      <c r="L17" s="15">
        <f>OKTOBER!F30</f>
        <v>0</v>
      </c>
      <c r="M17" s="15">
        <f>NOVEMBER!F30</f>
        <v>250000</v>
      </c>
      <c r="N17" s="16">
        <f>DESEMBER!F30</f>
        <v>0</v>
      </c>
      <c r="O17" s="14">
        <f t="shared" si="0"/>
        <v>1750000</v>
      </c>
    </row>
    <row r="18" spans="1:15" ht="15.75" thickBot="1" x14ac:dyDescent="0.25">
      <c r="A18" s="60"/>
      <c r="B18" s="43" t="s">
        <v>75</v>
      </c>
      <c r="C18" s="13">
        <f>SUM(C7:C17)</f>
        <v>6254000</v>
      </c>
      <c r="D18" s="15">
        <f>FEB!F31</f>
        <v>6169000</v>
      </c>
      <c r="E18" s="15">
        <f>MAR!F31</f>
        <v>6254000</v>
      </c>
      <c r="F18" s="15">
        <f>APR!F31</f>
        <v>6179000</v>
      </c>
      <c r="G18" s="15">
        <f>MEI!F31</f>
        <v>6088000</v>
      </c>
      <c r="H18" s="15">
        <f>JUNI!F31</f>
        <v>6088000</v>
      </c>
      <c r="I18" s="15">
        <f>SUM(I7:I17)</f>
        <v>0</v>
      </c>
      <c r="J18" s="15">
        <f>SUM(J7:J17)</f>
        <v>0</v>
      </c>
      <c r="K18" s="15">
        <f>SUM(K7:K17)</f>
        <v>0</v>
      </c>
      <c r="L18" s="15">
        <f>SUM(L7:L17)</f>
        <v>0</v>
      </c>
      <c r="M18" s="15">
        <f>SUM(M7:M17)</f>
        <v>250000</v>
      </c>
      <c r="N18" s="16">
        <f>DESEMBER!F31</f>
        <v>0</v>
      </c>
      <c r="O18" s="14">
        <f t="shared" si="0"/>
        <v>37282000</v>
      </c>
    </row>
    <row r="19" spans="1:15" ht="15.75" customHeight="1" thickBot="1" x14ac:dyDescent="0.25">
      <c r="A19" s="48" t="s">
        <v>80</v>
      </c>
      <c r="B19" s="49"/>
      <c r="C19" s="36">
        <f t="shared" ref="C19:N19" si="1">C5-C18</f>
        <v>416000</v>
      </c>
      <c r="D19" s="36">
        <f t="shared" si="1"/>
        <v>1031000</v>
      </c>
      <c r="E19" s="36">
        <f t="shared" si="1"/>
        <v>2176000</v>
      </c>
      <c r="F19" s="36">
        <f t="shared" si="1"/>
        <v>196000</v>
      </c>
      <c r="G19" s="36">
        <f t="shared" si="1"/>
        <v>722000</v>
      </c>
      <c r="H19" s="36">
        <f t="shared" si="1"/>
        <v>1062000</v>
      </c>
      <c r="I19" s="36">
        <f>I5-I18</f>
        <v>0</v>
      </c>
      <c r="J19" s="36">
        <f>J5-J18</f>
        <v>0</v>
      </c>
      <c r="K19" s="36">
        <f t="shared" si="1"/>
        <v>0</v>
      </c>
      <c r="L19" s="36">
        <f>L5-L18</f>
        <v>0</v>
      </c>
      <c r="M19" s="36">
        <f>M5-M18</f>
        <v>-250000</v>
      </c>
      <c r="N19" s="36">
        <f t="shared" si="1"/>
        <v>0</v>
      </c>
      <c r="O19" s="37">
        <f t="shared" si="0"/>
        <v>5353000</v>
      </c>
    </row>
    <row r="20" spans="1:15" ht="15.75" customHeight="1" x14ac:dyDescent="0.2">
      <c r="C20" s="38" t="s">
        <v>68</v>
      </c>
      <c r="D20" s="38" t="s">
        <v>68</v>
      </c>
      <c r="E20" s="38" t="s">
        <v>68</v>
      </c>
      <c r="F20" s="38" t="s">
        <v>68</v>
      </c>
      <c r="G20" s="38" t="s">
        <v>68</v>
      </c>
      <c r="H20" s="38" t="s">
        <v>68</v>
      </c>
      <c r="I20" s="38" t="s">
        <v>68</v>
      </c>
      <c r="J20" s="38" t="s">
        <v>68</v>
      </c>
      <c r="K20" s="38" t="s">
        <v>68</v>
      </c>
      <c r="L20" s="38" t="s">
        <v>68</v>
      </c>
      <c r="M20" s="38" t="s">
        <v>68</v>
      </c>
      <c r="N20" s="38" t="s">
        <v>68</v>
      </c>
      <c r="O20" s="38" t="s">
        <v>68</v>
      </c>
    </row>
    <row r="21" spans="1:15" ht="15.75" customHeight="1" x14ac:dyDescent="0.2">
      <c r="C21" s="35" t="s">
        <v>85</v>
      </c>
      <c r="G21" s="18"/>
      <c r="H21" s="18"/>
      <c r="J21" s="18"/>
    </row>
    <row r="22" spans="1:15" ht="15.75" customHeight="1" x14ac:dyDescent="0.2">
      <c r="G22" s="19"/>
      <c r="H22" s="19"/>
      <c r="J22" s="19"/>
    </row>
    <row r="23" spans="1:15" ht="15.75" customHeight="1" x14ac:dyDescent="0.2">
      <c r="G23" s="18"/>
      <c r="H23" s="18"/>
      <c r="I23" s="18"/>
      <c r="J23" s="18"/>
    </row>
    <row r="24" spans="1:15" ht="15.75" customHeight="1" x14ac:dyDescent="0.2">
      <c r="I24" s="20"/>
    </row>
    <row r="25" spans="1:15" ht="15.75" customHeight="1" x14ac:dyDescent="0.2">
      <c r="I25" s="21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</sheetData>
  <mergeCells count="6">
    <mergeCell ref="A19:B19"/>
    <mergeCell ref="O3:O4"/>
    <mergeCell ref="A3:A4"/>
    <mergeCell ref="B3:B4"/>
    <mergeCell ref="C3:N3"/>
    <mergeCell ref="A5:A18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572B-3253-4139-8ACE-75AAB7907A14}">
  <sheetPr>
    <pageSetUpPr fitToPage="1"/>
  </sheetPr>
  <dimension ref="A2:H41"/>
  <sheetViews>
    <sheetView zoomScale="58" zoomScaleNormal="70" workbookViewId="0">
      <selection activeCell="G23" sqref="G23"/>
    </sheetView>
  </sheetViews>
  <sheetFormatPr defaultColWidth="9.14453125" defaultRowHeight="15" x14ac:dyDescent="0.2"/>
  <cols>
    <col min="1" max="1" width="9.14453125" style="22"/>
    <col min="2" max="2" width="22.8671875" style="22" customWidth="1"/>
    <col min="3" max="3" width="51.38671875" style="22" bestFit="1" customWidth="1"/>
    <col min="4" max="4" width="22.59765625" style="22" customWidth="1"/>
    <col min="5" max="5" width="13.85546875" style="22" customWidth="1"/>
    <col min="6" max="6" width="12.64453125" style="22" customWidth="1"/>
    <col min="7" max="7" width="22.05859375" style="22" customWidth="1"/>
    <col min="8" max="16384" width="9.14453125" style="22"/>
  </cols>
  <sheetData>
    <row r="2" spans="1:4" ht="12.75" customHeight="1" x14ac:dyDescent="0.2"/>
    <row r="3" spans="1:4" ht="21" x14ac:dyDescent="0.3">
      <c r="C3" s="42" t="s">
        <v>40</v>
      </c>
      <c r="D3" s="23"/>
    </row>
    <row r="4" spans="1:4" ht="21" x14ac:dyDescent="0.3">
      <c r="C4" s="42" t="s">
        <v>162</v>
      </c>
      <c r="D4" s="23"/>
    </row>
    <row r="5" spans="1:4" x14ac:dyDescent="0.2">
      <c r="C5" s="23"/>
      <c r="D5" s="23"/>
    </row>
    <row r="6" spans="1:4" x14ac:dyDescent="0.2">
      <c r="A6" s="22" t="s">
        <v>87</v>
      </c>
      <c r="D6" s="23"/>
    </row>
    <row r="7" spans="1:4" x14ac:dyDescent="0.2">
      <c r="A7" s="22" t="s">
        <v>163</v>
      </c>
      <c r="D7" s="23"/>
    </row>
    <row r="8" spans="1:4" x14ac:dyDescent="0.2">
      <c r="A8" s="22" t="s">
        <v>164</v>
      </c>
      <c r="D8" s="23"/>
    </row>
    <row r="9" spans="1:4" x14ac:dyDescent="0.2">
      <c r="A9" s="22" t="s">
        <v>143</v>
      </c>
      <c r="D9" s="23"/>
    </row>
    <row r="10" spans="1:4" x14ac:dyDescent="0.2">
      <c r="C10" s="23"/>
      <c r="D10" s="23"/>
    </row>
    <row r="11" spans="1:4" x14ac:dyDescent="0.2">
      <c r="A11" s="24" t="s">
        <v>26</v>
      </c>
      <c r="B11" s="24" t="s">
        <v>47</v>
      </c>
      <c r="C11" s="24" t="s">
        <v>41</v>
      </c>
      <c r="D11" s="24" t="s">
        <v>48</v>
      </c>
    </row>
    <row r="12" spans="1:4" x14ac:dyDescent="0.2">
      <c r="A12" s="26">
        <v>1</v>
      </c>
      <c r="B12" s="30" t="s">
        <v>90</v>
      </c>
      <c r="C12" s="27">
        <v>46037</v>
      </c>
      <c r="D12" s="31">
        <v>2050000</v>
      </c>
    </row>
    <row r="13" spans="1:4" x14ac:dyDescent="0.2">
      <c r="A13" s="26">
        <v>2</v>
      </c>
      <c r="B13" s="30" t="s">
        <v>51</v>
      </c>
      <c r="C13" s="27">
        <v>46037</v>
      </c>
      <c r="D13" s="31">
        <v>1415000</v>
      </c>
    </row>
    <row r="14" spans="1:4" x14ac:dyDescent="0.2">
      <c r="A14" s="26">
        <v>3</v>
      </c>
      <c r="B14" s="30" t="s">
        <v>53</v>
      </c>
      <c r="C14" s="27">
        <v>46037</v>
      </c>
      <c r="D14" s="31">
        <v>2215000</v>
      </c>
    </row>
    <row r="15" spans="1:4" x14ac:dyDescent="0.2">
      <c r="A15" s="26">
        <v>4</v>
      </c>
      <c r="B15" s="30" t="s">
        <v>55</v>
      </c>
      <c r="C15" s="27">
        <v>46037</v>
      </c>
      <c r="D15" s="31">
        <v>990000</v>
      </c>
    </row>
    <row r="16" spans="1:4" ht="18.75" x14ac:dyDescent="0.25">
      <c r="A16" s="30" t="s">
        <v>28</v>
      </c>
      <c r="B16" s="26"/>
      <c r="C16" s="26"/>
      <c r="D16" s="39">
        <f>SUM(D12:D15)</f>
        <v>6670000</v>
      </c>
    </row>
    <row r="18" spans="1:8" x14ac:dyDescent="0.2">
      <c r="A18" s="24" t="s">
        <v>26</v>
      </c>
      <c r="B18" s="24" t="s">
        <v>41</v>
      </c>
      <c r="C18" s="24" t="s">
        <v>42</v>
      </c>
      <c r="D18" s="24" t="s">
        <v>43</v>
      </c>
      <c r="E18" s="40" t="s">
        <v>44</v>
      </c>
      <c r="F18" s="40" t="s">
        <v>45</v>
      </c>
      <c r="G18" s="24" t="s">
        <v>46</v>
      </c>
      <c r="H18" s="25"/>
    </row>
    <row r="19" spans="1:8" x14ac:dyDescent="0.2">
      <c r="A19" s="26">
        <v>1</v>
      </c>
      <c r="B19" s="27">
        <v>46053</v>
      </c>
      <c r="C19" s="30" t="s">
        <v>49</v>
      </c>
      <c r="D19" s="26"/>
      <c r="E19" s="31">
        <f>D16</f>
        <v>6670000</v>
      </c>
      <c r="F19" s="26"/>
      <c r="G19" s="26"/>
      <c r="H19" s="25"/>
    </row>
    <row r="20" spans="1:8" x14ac:dyDescent="0.2">
      <c r="A20" s="26">
        <v>2</v>
      </c>
      <c r="B20" s="27"/>
      <c r="C20" s="30" t="s">
        <v>50</v>
      </c>
      <c r="D20" s="28">
        <v>28000</v>
      </c>
      <c r="E20" s="29"/>
      <c r="F20" s="31">
        <f>D20*53</f>
        <v>1484000</v>
      </c>
      <c r="G20" s="30" t="s">
        <v>89</v>
      </c>
      <c r="H20" s="25"/>
    </row>
    <row r="21" spans="1:8" x14ac:dyDescent="0.2">
      <c r="A21" s="26">
        <v>5</v>
      </c>
      <c r="B21" s="27"/>
      <c r="C21" s="30" t="s">
        <v>56</v>
      </c>
      <c r="D21" s="28">
        <v>30000</v>
      </c>
      <c r="E21" s="26"/>
      <c r="F21" s="31">
        <f>D21*66</f>
        <v>1980000</v>
      </c>
      <c r="G21" s="31" t="s">
        <v>98</v>
      </c>
      <c r="H21" s="25"/>
    </row>
    <row r="22" spans="1:8" x14ac:dyDescent="0.2">
      <c r="A22" s="26">
        <v>4</v>
      </c>
      <c r="B22" s="27"/>
      <c r="C22" s="30" t="s">
        <v>54</v>
      </c>
      <c r="D22" s="28">
        <v>10000</v>
      </c>
      <c r="E22" s="26"/>
      <c r="F22" s="31">
        <f>D22*66</f>
        <v>660000</v>
      </c>
      <c r="G22" s="30" t="s">
        <v>88</v>
      </c>
      <c r="H22" s="25"/>
    </row>
    <row r="23" spans="1:8" x14ac:dyDescent="0.2">
      <c r="A23" s="26">
        <v>3</v>
      </c>
      <c r="B23" s="27"/>
      <c r="C23" s="30" t="s">
        <v>52</v>
      </c>
      <c r="D23" s="28">
        <v>5000</v>
      </c>
      <c r="E23" s="26"/>
      <c r="F23" s="31">
        <f>D23*62+62000</f>
        <v>372000</v>
      </c>
      <c r="G23" s="41" t="s">
        <v>165</v>
      </c>
      <c r="H23" s="25"/>
    </row>
    <row r="24" spans="1:8" x14ac:dyDescent="0.2">
      <c r="A24" s="26">
        <v>6</v>
      </c>
      <c r="B24" s="27"/>
      <c r="C24" s="30" t="s">
        <v>84</v>
      </c>
      <c r="D24" s="28">
        <v>5000</v>
      </c>
      <c r="E24" s="26"/>
      <c r="F24" s="31">
        <f>D24*60</f>
        <v>300000</v>
      </c>
      <c r="G24" s="30" t="s">
        <v>145</v>
      </c>
      <c r="H24" s="25"/>
    </row>
    <row r="25" spans="1:8" x14ac:dyDescent="0.2">
      <c r="A25" s="26">
        <v>7</v>
      </c>
      <c r="B25" s="27"/>
      <c r="C25" s="30" t="s">
        <v>82</v>
      </c>
      <c r="D25" s="28">
        <v>5000</v>
      </c>
      <c r="E25" s="26"/>
      <c r="F25" s="31">
        <f>D25*60</f>
        <v>300000</v>
      </c>
      <c r="G25" s="30" t="s">
        <v>145</v>
      </c>
      <c r="H25" s="25"/>
    </row>
    <row r="26" spans="1:8" x14ac:dyDescent="0.2">
      <c r="A26" s="26">
        <v>8</v>
      </c>
      <c r="B26" s="27"/>
      <c r="C26" s="30" t="s">
        <v>57</v>
      </c>
      <c r="D26" s="28">
        <v>3000</v>
      </c>
      <c r="E26" s="26"/>
      <c r="F26" s="31">
        <f>D26*66</f>
        <v>198000</v>
      </c>
      <c r="G26" s="30" t="s">
        <v>99</v>
      </c>
      <c r="H26" s="25"/>
    </row>
    <row r="27" spans="1:8" x14ac:dyDescent="0.2">
      <c r="A27" s="26">
        <v>9</v>
      </c>
      <c r="B27" s="27"/>
      <c r="C27" s="30" t="s">
        <v>66</v>
      </c>
      <c r="D27" s="28">
        <v>3000</v>
      </c>
      <c r="E27" s="26"/>
      <c r="F27" s="31">
        <f>D27*66</f>
        <v>198000</v>
      </c>
      <c r="G27" s="30" t="s">
        <v>99</v>
      </c>
      <c r="H27" s="25"/>
    </row>
    <row r="28" spans="1:8" x14ac:dyDescent="0.2">
      <c r="A28" s="26">
        <v>10</v>
      </c>
      <c r="B28" s="27"/>
      <c r="C28" s="30" t="s">
        <v>67</v>
      </c>
      <c r="D28" s="28">
        <v>28000</v>
      </c>
      <c r="E28" s="26"/>
      <c r="F28" s="31">
        <f>D28*7+66000</f>
        <v>262000</v>
      </c>
      <c r="G28" s="30" t="s">
        <v>103</v>
      </c>
      <c r="H28" s="25"/>
    </row>
    <row r="29" spans="1:8" x14ac:dyDescent="0.2">
      <c r="A29" s="26">
        <v>11</v>
      </c>
      <c r="B29" s="27"/>
      <c r="C29" s="30" t="s">
        <v>91</v>
      </c>
      <c r="D29" s="28">
        <v>5000</v>
      </c>
      <c r="E29" s="26"/>
      <c r="F29" s="31">
        <f>D29*50</f>
        <v>250000</v>
      </c>
      <c r="G29" s="30" t="s">
        <v>155</v>
      </c>
      <c r="H29" s="25"/>
    </row>
    <row r="30" spans="1:8" x14ac:dyDescent="0.2">
      <c r="A30" s="26">
        <v>12</v>
      </c>
      <c r="B30" s="27"/>
      <c r="C30" s="30" t="s">
        <v>102</v>
      </c>
      <c r="D30" s="28"/>
      <c r="E30" s="26"/>
      <c r="F30" s="31">
        <v>250000</v>
      </c>
      <c r="G30" s="31">
        <v>250000</v>
      </c>
      <c r="H30" s="25"/>
    </row>
    <row r="31" spans="1:8" ht="18.75" x14ac:dyDescent="0.25">
      <c r="A31" s="26">
        <v>13</v>
      </c>
      <c r="B31" s="26"/>
      <c r="C31" s="30" t="s">
        <v>58</v>
      </c>
      <c r="D31" s="26"/>
      <c r="E31" s="39">
        <f>SUM(E19)</f>
        <v>6670000</v>
      </c>
      <c r="F31" s="39">
        <f>SUM(F20:F30)</f>
        <v>6254000</v>
      </c>
      <c r="G31" s="39">
        <f>E31-F31</f>
        <v>416000</v>
      </c>
      <c r="H31" s="25"/>
    </row>
    <row r="32" spans="1:8" x14ac:dyDescent="0.2">
      <c r="A32" s="22" t="s">
        <v>169</v>
      </c>
      <c r="B32" s="23"/>
      <c r="C32" s="45" t="s">
        <v>166</v>
      </c>
      <c r="D32" s="23"/>
    </row>
    <row r="33" spans="2:6" x14ac:dyDescent="0.2">
      <c r="B33" s="44" t="s">
        <v>105</v>
      </c>
      <c r="C33" s="22" t="s">
        <v>167</v>
      </c>
    </row>
    <row r="34" spans="2:6" x14ac:dyDescent="0.2">
      <c r="B34" s="44" t="s">
        <v>170</v>
      </c>
      <c r="C34" s="22" t="s">
        <v>168</v>
      </c>
    </row>
    <row r="35" spans="2:6" x14ac:dyDescent="0.2">
      <c r="B35" s="44"/>
    </row>
    <row r="36" spans="2:6" x14ac:dyDescent="0.2">
      <c r="B36" s="34" t="s">
        <v>93</v>
      </c>
      <c r="C36" s="34" t="s">
        <v>59</v>
      </c>
      <c r="D36" s="34" t="s">
        <v>94</v>
      </c>
      <c r="F36" s="34" t="s">
        <v>63</v>
      </c>
    </row>
    <row r="37" spans="2:6" x14ac:dyDescent="0.2">
      <c r="B37" s="34" t="s">
        <v>95</v>
      </c>
      <c r="C37" s="34" t="s">
        <v>61</v>
      </c>
      <c r="D37" s="34" t="s">
        <v>60</v>
      </c>
      <c r="F37" s="34" t="s">
        <v>64</v>
      </c>
    </row>
    <row r="38" spans="2:6" x14ac:dyDescent="0.2">
      <c r="B38" s="34"/>
      <c r="C38" s="34"/>
      <c r="D38" s="34"/>
      <c r="F38" s="34"/>
    </row>
    <row r="39" spans="2:6" x14ac:dyDescent="0.2">
      <c r="B39" s="34"/>
      <c r="C39" s="34"/>
      <c r="D39" s="34"/>
      <c r="F39" s="34"/>
    </row>
    <row r="40" spans="2:6" x14ac:dyDescent="0.2">
      <c r="B40" s="34"/>
      <c r="C40" s="34"/>
      <c r="D40" s="34"/>
      <c r="F40" s="34"/>
    </row>
    <row r="41" spans="2:6" x14ac:dyDescent="0.2">
      <c r="B41" s="34" t="s">
        <v>96</v>
      </c>
      <c r="C41" s="34" t="s">
        <v>81</v>
      </c>
      <c r="D41" s="34" t="s">
        <v>62</v>
      </c>
      <c r="F41" s="34" t="s">
        <v>65</v>
      </c>
    </row>
  </sheetData>
  <pageMargins left="0.25" right="0.25" top="0.75" bottom="0.75" header="0.3" footer="0.3"/>
  <pageSetup paperSize="9" scale="53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BE0B-7981-4619-A4D2-2D81884DCE7B}">
  <sheetPr>
    <pageSetUpPr fitToPage="1"/>
  </sheetPr>
  <dimension ref="A2:H41"/>
  <sheetViews>
    <sheetView zoomScale="60" zoomScaleNormal="70" workbookViewId="0">
      <selection activeCell="G23" sqref="G23"/>
    </sheetView>
  </sheetViews>
  <sheetFormatPr defaultColWidth="9.14453125" defaultRowHeight="15" x14ac:dyDescent="0.2"/>
  <cols>
    <col min="1" max="1" width="9.14453125" style="22"/>
    <col min="2" max="2" width="22.8671875" style="22" customWidth="1"/>
    <col min="3" max="3" width="50.30859375" style="22" bestFit="1" customWidth="1"/>
    <col min="4" max="4" width="22.59765625" style="22" customWidth="1"/>
    <col min="5" max="5" width="13.85546875" style="22" customWidth="1"/>
    <col min="6" max="6" width="12.64453125" style="22" customWidth="1"/>
    <col min="7" max="7" width="22.05859375" style="22" customWidth="1"/>
    <col min="8" max="16384" width="9.14453125" style="22"/>
  </cols>
  <sheetData>
    <row r="2" spans="1:4" ht="12.75" customHeight="1" x14ac:dyDescent="0.2"/>
    <row r="3" spans="1:4" ht="21" x14ac:dyDescent="0.3">
      <c r="C3" s="42" t="s">
        <v>40</v>
      </c>
      <c r="D3" s="23"/>
    </row>
    <row r="4" spans="1:4" ht="21" x14ac:dyDescent="0.3">
      <c r="C4" s="42" t="s">
        <v>175</v>
      </c>
      <c r="D4" s="23"/>
    </row>
    <row r="5" spans="1:4" x14ac:dyDescent="0.2">
      <c r="C5" s="23"/>
      <c r="D5" s="23"/>
    </row>
    <row r="6" spans="1:4" x14ac:dyDescent="0.2">
      <c r="A6" s="22" t="s">
        <v>128</v>
      </c>
      <c r="D6" s="23"/>
    </row>
    <row r="7" spans="1:4" x14ac:dyDescent="0.2">
      <c r="A7" s="22" t="s">
        <v>163</v>
      </c>
      <c r="D7" s="23"/>
    </row>
    <row r="8" spans="1:4" x14ac:dyDescent="0.2">
      <c r="A8" s="22" t="s">
        <v>171</v>
      </c>
      <c r="D8" s="23"/>
    </row>
    <row r="9" spans="1:4" x14ac:dyDescent="0.2">
      <c r="A9" s="22" t="s">
        <v>143</v>
      </c>
      <c r="D9" s="23"/>
    </row>
    <row r="10" spans="1:4" x14ac:dyDescent="0.2">
      <c r="C10" s="23"/>
      <c r="D10" s="23"/>
    </row>
    <row r="11" spans="1:4" x14ac:dyDescent="0.2">
      <c r="A11" s="24" t="s">
        <v>26</v>
      </c>
      <c r="B11" s="24" t="s">
        <v>47</v>
      </c>
      <c r="C11" s="24" t="s">
        <v>41</v>
      </c>
      <c r="D11" s="24" t="s">
        <v>48</v>
      </c>
    </row>
    <row r="12" spans="1:4" x14ac:dyDescent="0.2">
      <c r="A12" s="26">
        <v>1</v>
      </c>
      <c r="B12" s="30" t="s">
        <v>90</v>
      </c>
      <c r="C12" s="27">
        <v>45703</v>
      </c>
      <c r="D12" s="31">
        <v>1550000</v>
      </c>
    </row>
    <row r="13" spans="1:4" x14ac:dyDescent="0.2">
      <c r="A13" s="26">
        <v>2</v>
      </c>
      <c r="B13" s="30" t="s">
        <v>51</v>
      </c>
      <c r="C13" s="27">
        <v>45703</v>
      </c>
      <c r="D13" s="31">
        <v>2510000</v>
      </c>
    </row>
    <row r="14" spans="1:4" x14ac:dyDescent="0.2">
      <c r="A14" s="26">
        <v>3</v>
      </c>
      <c r="B14" s="30" t="s">
        <v>53</v>
      </c>
      <c r="C14" s="27">
        <v>45703</v>
      </c>
      <c r="D14" s="31">
        <v>2215000</v>
      </c>
    </row>
    <row r="15" spans="1:4" x14ac:dyDescent="0.2">
      <c r="A15" s="26">
        <v>4</v>
      </c>
      <c r="B15" s="30" t="s">
        <v>55</v>
      </c>
      <c r="C15" s="27">
        <v>45703</v>
      </c>
      <c r="D15" s="31">
        <v>925000</v>
      </c>
    </row>
    <row r="16" spans="1:4" ht="18.75" x14ac:dyDescent="0.25">
      <c r="A16" s="30" t="s">
        <v>28</v>
      </c>
      <c r="B16" s="26"/>
      <c r="C16" s="26"/>
      <c r="D16" s="39">
        <f>SUM(D12:D15)</f>
        <v>7200000</v>
      </c>
    </row>
    <row r="18" spans="1:8" x14ac:dyDescent="0.2">
      <c r="A18" s="24" t="s">
        <v>26</v>
      </c>
      <c r="B18" s="24" t="s">
        <v>41</v>
      </c>
      <c r="C18" s="24" t="s">
        <v>42</v>
      </c>
      <c r="D18" s="24" t="s">
        <v>43</v>
      </c>
      <c r="E18" s="40" t="s">
        <v>44</v>
      </c>
      <c r="F18" s="40" t="s">
        <v>45</v>
      </c>
      <c r="G18" s="24" t="s">
        <v>46</v>
      </c>
      <c r="H18" s="25"/>
    </row>
    <row r="19" spans="1:8" x14ac:dyDescent="0.2">
      <c r="A19" s="26">
        <v>1</v>
      </c>
      <c r="B19" s="27">
        <v>45704</v>
      </c>
      <c r="C19" s="30" t="s">
        <v>49</v>
      </c>
      <c r="D19" s="26"/>
      <c r="E19" s="31">
        <f>D16</f>
        <v>7200000</v>
      </c>
      <c r="F19" s="26"/>
      <c r="G19" s="26"/>
      <c r="H19" s="25"/>
    </row>
    <row r="20" spans="1:8" x14ac:dyDescent="0.2">
      <c r="A20" s="26">
        <v>2</v>
      </c>
      <c r="B20" s="27"/>
      <c r="C20" s="30" t="s">
        <v>50</v>
      </c>
      <c r="D20" s="28">
        <v>28000</v>
      </c>
      <c r="E20" s="29"/>
      <c r="F20" s="31">
        <f>D20*52</f>
        <v>1456000</v>
      </c>
      <c r="G20" s="30" t="s">
        <v>131</v>
      </c>
      <c r="H20" s="25"/>
    </row>
    <row r="21" spans="1:8" x14ac:dyDescent="0.2">
      <c r="A21" s="26">
        <v>5</v>
      </c>
      <c r="B21" s="27"/>
      <c r="C21" s="30" t="s">
        <v>56</v>
      </c>
      <c r="D21" s="28">
        <v>30000</v>
      </c>
      <c r="E21" s="26"/>
      <c r="F21" s="31">
        <f>D21*65</f>
        <v>1950000</v>
      </c>
      <c r="G21" s="31" t="s">
        <v>132</v>
      </c>
      <c r="H21" s="25"/>
    </row>
    <row r="22" spans="1:8" x14ac:dyDescent="0.2">
      <c r="A22" s="26">
        <v>4</v>
      </c>
      <c r="B22" s="27"/>
      <c r="C22" s="30" t="s">
        <v>54</v>
      </c>
      <c r="D22" s="28">
        <v>10000</v>
      </c>
      <c r="E22" s="26"/>
      <c r="F22" s="31">
        <f>D22*65</f>
        <v>650000</v>
      </c>
      <c r="G22" s="30" t="s">
        <v>133</v>
      </c>
      <c r="H22" s="25"/>
    </row>
    <row r="23" spans="1:8" x14ac:dyDescent="0.2">
      <c r="A23" s="26">
        <v>3</v>
      </c>
      <c r="B23" s="27"/>
      <c r="C23" s="30" t="s">
        <v>52</v>
      </c>
      <c r="D23" s="28">
        <v>5000</v>
      </c>
      <c r="E23" s="26"/>
      <c r="F23" s="31">
        <f>D23*62+62000</f>
        <v>372000</v>
      </c>
      <c r="G23" s="41" t="s">
        <v>172</v>
      </c>
      <c r="H23" s="25"/>
    </row>
    <row r="24" spans="1:8" x14ac:dyDescent="0.2">
      <c r="A24" s="26">
        <v>6</v>
      </c>
      <c r="B24" s="27"/>
      <c r="C24" s="30" t="s">
        <v>84</v>
      </c>
      <c r="D24" s="28">
        <v>5000</v>
      </c>
      <c r="E24" s="26"/>
      <c r="F24" s="31">
        <f>D24*59</f>
        <v>295000</v>
      </c>
      <c r="G24" s="30" t="s">
        <v>173</v>
      </c>
      <c r="H24" s="25"/>
    </row>
    <row r="25" spans="1:8" x14ac:dyDescent="0.2">
      <c r="A25" s="26">
        <v>7</v>
      </c>
      <c r="B25" s="27"/>
      <c r="C25" s="30" t="s">
        <v>82</v>
      </c>
      <c r="D25" s="28">
        <v>5000</v>
      </c>
      <c r="E25" s="26"/>
      <c r="F25" s="31">
        <f>D25*59</f>
        <v>295000</v>
      </c>
      <c r="G25" s="30" t="s">
        <v>173</v>
      </c>
      <c r="H25" s="25"/>
    </row>
    <row r="26" spans="1:8" x14ac:dyDescent="0.2">
      <c r="A26" s="26">
        <v>8</v>
      </c>
      <c r="B26" s="27"/>
      <c r="C26" s="30" t="s">
        <v>57</v>
      </c>
      <c r="D26" s="28">
        <v>3000</v>
      </c>
      <c r="E26" s="26"/>
      <c r="F26" s="31">
        <f>D26*65</f>
        <v>195000</v>
      </c>
      <c r="G26" s="30" t="s">
        <v>136</v>
      </c>
      <c r="H26" s="25"/>
    </row>
    <row r="27" spans="1:8" x14ac:dyDescent="0.2">
      <c r="A27" s="26">
        <v>9</v>
      </c>
      <c r="B27" s="27"/>
      <c r="C27" s="30" t="s">
        <v>66</v>
      </c>
      <c r="D27" s="28">
        <v>3000</v>
      </c>
      <c r="E27" s="26"/>
      <c r="F27" s="31">
        <f>D27*65</f>
        <v>195000</v>
      </c>
      <c r="G27" s="30" t="s">
        <v>136</v>
      </c>
      <c r="H27" s="25"/>
    </row>
    <row r="28" spans="1:8" x14ac:dyDescent="0.2">
      <c r="A28" s="26">
        <v>10</v>
      </c>
      <c r="B28" s="27"/>
      <c r="C28" s="30" t="s">
        <v>67</v>
      </c>
      <c r="D28" s="28">
        <v>28000</v>
      </c>
      <c r="E28" s="26"/>
      <c r="F28" s="31">
        <f>D28*7+65000</f>
        <v>261000</v>
      </c>
      <c r="G28" s="30" t="s">
        <v>129</v>
      </c>
      <c r="H28" s="25"/>
    </row>
    <row r="29" spans="1:8" x14ac:dyDescent="0.2">
      <c r="A29" s="26">
        <v>11</v>
      </c>
      <c r="B29" s="27"/>
      <c r="C29" s="30" t="s">
        <v>91</v>
      </c>
      <c r="D29" s="28">
        <v>5000</v>
      </c>
      <c r="E29" s="26"/>
      <c r="F29" s="31">
        <f>D29*50</f>
        <v>250000</v>
      </c>
      <c r="G29" s="30" t="s">
        <v>155</v>
      </c>
      <c r="H29" s="25"/>
    </row>
    <row r="30" spans="1:8" x14ac:dyDescent="0.2">
      <c r="A30" s="26">
        <v>12</v>
      </c>
      <c r="B30" s="27"/>
      <c r="C30" s="30" t="s">
        <v>102</v>
      </c>
      <c r="D30" s="28"/>
      <c r="E30" s="26"/>
      <c r="F30" s="31">
        <f>G30</f>
        <v>250000</v>
      </c>
      <c r="G30" s="31">
        <v>250000</v>
      </c>
      <c r="H30" s="25"/>
    </row>
    <row r="31" spans="1:8" ht="18.75" x14ac:dyDescent="0.25">
      <c r="A31" s="26">
        <v>13</v>
      </c>
      <c r="B31" s="26"/>
      <c r="C31" s="30" t="s">
        <v>58</v>
      </c>
      <c r="D31" s="26"/>
      <c r="E31" s="39">
        <f>SUM(E19)</f>
        <v>7200000</v>
      </c>
      <c r="F31" s="39">
        <f>SUM(F20:F30)</f>
        <v>6169000</v>
      </c>
      <c r="G31" s="39">
        <f>E31-F31</f>
        <v>1031000</v>
      </c>
      <c r="H31" s="25"/>
    </row>
    <row r="32" spans="1:8" x14ac:dyDescent="0.2">
      <c r="A32" s="22" t="s">
        <v>159</v>
      </c>
      <c r="B32" s="23"/>
      <c r="C32" s="45" t="s">
        <v>166</v>
      </c>
      <c r="D32" s="23"/>
    </row>
    <row r="33" spans="2:6" x14ac:dyDescent="0.2">
      <c r="B33" s="44" t="s">
        <v>105</v>
      </c>
      <c r="C33" s="22" t="s">
        <v>174</v>
      </c>
    </row>
    <row r="34" spans="2:6" x14ac:dyDescent="0.2">
      <c r="B34" s="44" t="s">
        <v>160</v>
      </c>
      <c r="C34" s="22" t="s">
        <v>168</v>
      </c>
    </row>
    <row r="35" spans="2:6" x14ac:dyDescent="0.2">
      <c r="B35" s="44"/>
    </row>
    <row r="36" spans="2:6" x14ac:dyDescent="0.2">
      <c r="B36" s="34" t="s">
        <v>93</v>
      </c>
      <c r="C36" s="34" t="s">
        <v>59</v>
      </c>
      <c r="D36" s="34" t="s">
        <v>94</v>
      </c>
      <c r="F36" s="34" t="s">
        <v>63</v>
      </c>
    </row>
    <row r="37" spans="2:6" x14ac:dyDescent="0.2">
      <c r="B37" s="34" t="s">
        <v>95</v>
      </c>
      <c r="C37" s="34" t="s">
        <v>61</v>
      </c>
      <c r="D37" s="34" t="s">
        <v>60</v>
      </c>
      <c r="F37" s="34" t="s">
        <v>64</v>
      </c>
    </row>
    <row r="38" spans="2:6" x14ac:dyDescent="0.2">
      <c r="B38" s="34"/>
      <c r="C38" s="34"/>
      <c r="D38" s="34"/>
      <c r="F38" s="34"/>
    </row>
    <row r="39" spans="2:6" x14ac:dyDescent="0.2">
      <c r="B39" s="34"/>
      <c r="C39" s="34"/>
      <c r="D39" s="34"/>
      <c r="F39" s="34"/>
    </row>
    <row r="40" spans="2:6" x14ac:dyDescent="0.2">
      <c r="B40" s="34"/>
      <c r="C40" s="34"/>
      <c r="D40" s="34"/>
      <c r="F40" s="34"/>
    </row>
    <row r="41" spans="2:6" x14ac:dyDescent="0.2">
      <c r="B41" s="34" t="s">
        <v>96</v>
      </c>
      <c r="C41" s="34" t="s">
        <v>81</v>
      </c>
      <c r="D41" s="34" t="s">
        <v>62</v>
      </c>
      <c r="F41" s="34" t="s">
        <v>65</v>
      </c>
    </row>
  </sheetData>
  <pageMargins left="0.25" right="0.25" top="0.75" bottom="0.75" header="0.3" footer="0.3"/>
  <pageSetup paperSize="9" scale="53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9211-BD4F-4F28-8065-90FA2613D2AF}">
  <sheetPr>
    <pageSetUpPr fitToPage="1"/>
  </sheetPr>
  <dimension ref="A2:H41"/>
  <sheetViews>
    <sheetView zoomScale="60" zoomScaleNormal="70" workbookViewId="0">
      <selection activeCell="A9" sqref="A9"/>
    </sheetView>
  </sheetViews>
  <sheetFormatPr defaultColWidth="9.14453125" defaultRowHeight="15" x14ac:dyDescent="0.2"/>
  <cols>
    <col min="1" max="1" width="9.14453125" style="22"/>
    <col min="2" max="2" width="22.8671875" style="22" customWidth="1"/>
    <col min="3" max="3" width="24.88671875" style="22" customWidth="1"/>
    <col min="4" max="4" width="22.59765625" style="22" customWidth="1"/>
    <col min="5" max="5" width="13.85546875" style="22" customWidth="1"/>
    <col min="6" max="6" width="12.64453125" style="22" customWidth="1"/>
    <col min="7" max="7" width="22.05859375" style="22" customWidth="1"/>
    <col min="8" max="16384" width="9.14453125" style="22"/>
  </cols>
  <sheetData>
    <row r="2" spans="1:4" ht="12.75" customHeight="1" x14ac:dyDescent="0.2"/>
    <row r="3" spans="1:4" ht="21" x14ac:dyDescent="0.3">
      <c r="C3" s="42" t="s">
        <v>40</v>
      </c>
      <c r="D3" s="23"/>
    </row>
    <row r="4" spans="1:4" ht="21" x14ac:dyDescent="0.3">
      <c r="C4" s="42" t="s">
        <v>176</v>
      </c>
      <c r="D4" s="23"/>
    </row>
    <row r="5" spans="1:4" x14ac:dyDescent="0.2">
      <c r="C5" s="23"/>
      <c r="D5" s="23"/>
    </row>
    <row r="6" spans="1:4" x14ac:dyDescent="0.2">
      <c r="A6" s="22" t="s">
        <v>87</v>
      </c>
      <c r="D6" s="23"/>
    </row>
    <row r="7" spans="1:4" x14ac:dyDescent="0.2">
      <c r="A7" s="22" t="s">
        <v>163</v>
      </c>
      <c r="D7" s="23"/>
    </row>
    <row r="8" spans="1:4" x14ac:dyDescent="0.2">
      <c r="A8" s="22" t="s">
        <v>164</v>
      </c>
      <c r="D8" s="23"/>
    </row>
    <row r="9" spans="1:4" x14ac:dyDescent="0.2">
      <c r="A9" s="22" t="s">
        <v>143</v>
      </c>
      <c r="D9" s="23"/>
    </row>
    <row r="10" spans="1:4" x14ac:dyDescent="0.2">
      <c r="C10" s="23"/>
      <c r="D10" s="23"/>
    </row>
    <row r="11" spans="1:4" x14ac:dyDescent="0.2">
      <c r="A11" s="24" t="s">
        <v>26</v>
      </c>
      <c r="B11" s="24" t="s">
        <v>47</v>
      </c>
      <c r="C11" s="24" t="s">
        <v>41</v>
      </c>
      <c r="D11" s="24" t="s">
        <v>48</v>
      </c>
    </row>
    <row r="12" spans="1:4" x14ac:dyDescent="0.2">
      <c r="A12" s="26">
        <v>1</v>
      </c>
      <c r="B12" s="30" t="s">
        <v>90</v>
      </c>
      <c r="C12" s="27">
        <v>45731</v>
      </c>
      <c r="D12" s="31">
        <v>1665000</v>
      </c>
    </row>
    <row r="13" spans="1:4" x14ac:dyDescent="0.2">
      <c r="A13" s="26">
        <v>2</v>
      </c>
      <c r="B13" s="30" t="s">
        <v>51</v>
      </c>
      <c r="C13" s="27">
        <v>45731</v>
      </c>
      <c r="D13" s="31">
        <v>3305000</v>
      </c>
    </row>
    <row r="14" spans="1:4" x14ac:dyDescent="0.2">
      <c r="A14" s="26">
        <v>3</v>
      </c>
      <c r="B14" s="30" t="s">
        <v>53</v>
      </c>
      <c r="C14" s="27">
        <v>45731</v>
      </c>
      <c r="D14" s="31">
        <v>2330000</v>
      </c>
    </row>
    <row r="15" spans="1:4" x14ac:dyDescent="0.2">
      <c r="A15" s="26">
        <v>4</v>
      </c>
      <c r="B15" s="30" t="s">
        <v>55</v>
      </c>
      <c r="C15" s="27">
        <v>45731</v>
      </c>
      <c r="D15" s="31">
        <v>1130000</v>
      </c>
    </row>
    <row r="16" spans="1:4" ht="18.75" x14ac:dyDescent="0.25">
      <c r="A16" s="30" t="s">
        <v>28</v>
      </c>
      <c r="B16" s="26"/>
      <c r="C16" s="26"/>
      <c r="D16" s="39">
        <f>SUM(D12:D15)</f>
        <v>8430000</v>
      </c>
    </row>
    <row r="18" spans="1:8" x14ac:dyDescent="0.2">
      <c r="A18" s="24" t="s">
        <v>26</v>
      </c>
      <c r="B18" s="24" t="s">
        <v>41</v>
      </c>
      <c r="C18" s="24" t="s">
        <v>42</v>
      </c>
      <c r="D18" s="24" t="s">
        <v>43</v>
      </c>
      <c r="E18" s="40" t="s">
        <v>44</v>
      </c>
      <c r="F18" s="40" t="s">
        <v>45</v>
      </c>
      <c r="G18" s="24" t="s">
        <v>46</v>
      </c>
      <c r="H18" s="25"/>
    </row>
    <row r="19" spans="1:8" x14ac:dyDescent="0.2">
      <c r="A19" s="26">
        <v>1</v>
      </c>
      <c r="B19" s="27">
        <v>45732</v>
      </c>
      <c r="C19" s="30" t="s">
        <v>49</v>
      </c>
      <c r="D19" s="26"/>
      <c r="E19" s="31">
        <f>D16</f>
        <v>8430000</v>
      </c>
      <c r="F19" s="26"/>
      <c r="G19" s="26"/>
      <c r="H19" s="25"/>
    </row>
    <row r="20" spans="1:8" x14ac:dyDescent="0.2">
      <c r="A20" s="26">
        <v>2</v>
      </c>
      <c r="B20" s="27"/>
      <c r="C20" s="30" t="s">
        <v>50</v>
      </c>
      <c r="D20" s="28">
        <v>28000</v>
      </c>
      <c r="E20" s="29"/>
      <c r="F20" s="31">
        <v>1484000</v>
      </c>
      <c r="G20" s="30" t="s">
        <v>89</v>
      </c>
      <c r="H20" s="25"/>
    </row>
    <row r="21" spans="1:8" x14ac:dyDescent="0.2">
      <c r="A21" s="26">
        <v>5</v>
      </c>
      <c r="B21" s="27"/>
      <c r="C21" s="30" t="s">
        <v>56</v>
      </c>
      <c r="D21" s="28">
        <v>30000</v>
      </c>
      <c r="E21" s="26"/>
      <c r="F21" s="31">
        <v>1980000</v>
      </c>
      <c r="G21" s="31" t="s">
        <v>98</v>
      </c>
      <c r="H21" s="25"/>
    </row>
    <row r="22" spans="1:8" x14ac:dyDescent="0.2">
      <c r="A22" s="26">
        <v>4</v>
      </c>
      <c r="B22" s="27"/>
      <c r="C22" s="30" t="s">
        <v>54</v>
      </c>
      <c r="D22" s="28">
        <v>10000</v>
      </c>
      <c r="E22" s="26"/>
      <c r="F22" s="31">
        <v>660000</v>
      </c>
      <c r="G22" s="30" t="s">
        <v>88</v>
      </c>
      <c r="H22" s="25"/>
    </row>
    <row r="23" spans="1:8" x14ac:dyDescent="0.2">
      <c r="A23" s="26">
        <v>3</v>
      </c>
      <c r="B23" s="27"/>
      <c r="C23" s="30" t="s">
        <v>52</v>
      </c>
      <c r="D23" s="28">
        <v>6000</v>
      </c>
      <c r="E23" s="26"/>
      <c r="F23" s="31">
        <v>372000</v>
      </c>
      <c r="G23" s="41" t="s">
        <v>177</v>
      </c>
      <c r="H23" s="25"/>
    </row>
    <row r="24" spans="1:8" x14ac:dyDescent="0.2">
      <c r="A24" s="26">
        <v>6</v>
      </c>
      <c r="B24" s="27"/>
      <c r="C24" s="30" t="s">
        <v>84</v>
      </c>
      <c r="D24" s="28">
        <v>5000</v>
      </c>
      <c r="E24" s="26"/>
      <c r="F24" s="31">
        <v>300000</v>
      </c>
      <c r="G24" s="30" t="s">
        <v>178</v>
      </c>
      <c r="H24" s="25"/>
    </row>
    <row r="25" spans="1:8" x14ac:dyDescent="0.2">
      <c r="A25" s="26">
        <v>7</v>
      </c>
      <c r="B25" s="27"/>
      <c r="C25" s="30" t="s">
        <v>82</v>
      </c>
      <c r="D25" s="28">
        <v>5000</v>
      </c>
      <c r="E25" s="26"/>
      <c r="F25" s="31">
        <v>300000</v>
      </c>
      <c r="G25" s="30" t="s">
        <v>178</v>
      </c>
      <c r="H25" s="25"/>
    </row>
    <row r="26" spans="1:8" x14ac:dyDescent="0.2">
      <c r="A26" s="26">
        <v>8</v>
      </c>
      <c r="B26" s="27"/>
      <c r="C26" s="30" t="s">
        <v>57</v>
      </c>
      <c r="D26" s="28">
        <v>3000</v>
      </c>
      <c r="E26" s="26"/>
      <c r="F26" s="31">
        <v>198000</v>
      </c>
      <c r="G26" s="30" t="s">
        <v>99</v>
      </c>
      <c r="H26" s="25"/>
    </row>
    <row r="27" spans="1:8" x14ac:dyDescent="0.2">
      <c r="A27" s="26">
        <v>9</v>
      </c>
      <c r="B27" s="27"/>
      <c r="C27" s="30" t="s">
        <v>66</v>
      </c>
      <c r="D27" s="28">
        <v>3000</v>
      </c>
      <c r="E27" s="26"/>
      <c r="F27" s="31">
        <v>198000</v>
      </c>
      <c r="G27" s="30" t="s">
        <v>99</v>
      </c>
      <c r="H27" s="25"/>
    </row>
    <row r="28" spans="1:8" x14ac:dyDescent="0.2">
      <c r="A28" s="26">
        <v>10</v>
      </c>
      <c r="B28" s="27"/>
      <c r="C28" s="30" t="s">
        <v>67</v>
      </c>
      <c r="D28" s="28">
        <v>28000</v>
      </c>
      <c r="E28" s="26"/>
      <c r="F28" s="31">
        <v>262000</v>
      </c>
      <c r="G28" s="30" t="s">
        <v>103</v>
      </c>
      <c r="H28" s="25"/>
    </row>
    <row r="29" spans="1:8" x14ac:dyDescent="0.2">
      <c r="A29" s="26">
        <v>11</v>
      </c>
      <c r="B29" s="27"/>
      <c r="C29" s="30" t="s">
        <v>91</v>
      </c>
      <c r="D29" s="28">
        <v>5000</v>
      </c>
      <c r="E29" s="26"/>
      <c r="F29" s="31">
        <v>250000</v>
      </c>
      <c r="G29" s="30" t="s">
        <v>155</v>
      </c>
      <c r="H29" s="25"/>
    </row>
    <row r="30" spans="1:8" x14ac:dyDescent="0.2">
      <c r="A30" s="26">
        <v>12</v>
      </c>
      <c r="B30" s="27"/>
      <c r="C30" s="30" t="s">
        <v>102</v>
      </c>
      <c r="D30" s="28"/>
      <c r="E30" s="26"/>
      <c r="F30" s="31">
        <v>250000</v>
      </c>
      <c r="G30" s="31">
        <v>250000</v>
      </c>
      <c r="H30" s="25"/>
    </row>
    <row r="31" spans="1:8" ht="18.75" x14ac:dyDescent="0.25">
      <c r="A31" s="26">
        <v>13</v>
      </c>
      <c r="B31" s="26"/>
      <c r="C31" s="30" t="s">
        <v>58</v>
      </c>
      <c r="D31" s="26"/>
      <c r="E31" s="39">
        <f>SUM(E19)</f>
        <v>8430000</v>
      </c>
      <c r="F31" s="39">
        <f>SUM(F20:F30)</f>
        <v>6254000</v>
      </c>
      <c r="G31" s="39">
        <f>E31-F31</f>
        <v>2176000</v>
      </c>
      <c r="H31" s="25"/>
    </row>
    <row r="32" spans="1:8" x14ac:dyDescent="0.2">
      <c r="A32" s="22" t="s">
        <v>169</v>
      </c>
      <c r="B32" s="23"/>
      <c r="C32" s="45" t="s">
        <v>166</v>
      </c>
      <c r="D32" s="23"/>
    </row>
    <row r="33" spans="2:6" x14ac:dyDescent="0.2">
      <c r="B33" s="44" t="s">
        <v>105</v>
      </c>
      <c r="C33" s="22" t="s">
        <v>174</v>
      </c>
    </row>
    <row r="34" spans="2:6" x14ac:dyDescent="0.2">
      <c r="B34" s="44" t="s">
        <v>170</v>
      </c>
      <c r="C34" s="22" t="s">
        <v>168</v>
      </c>
    </row>
    <row r="35" spans="2:6" x14ac:dyDescent="0.2">
      <c r="B35" s="44"/>
    </row>
    <row r="36" spans="2:6" x14ac:dyDescent="0.2">
      <c r="B36" s="34" t="s">
        <v>93</v>
      </c>
      <c r="C36" s="34" t="s">
        <v>59</v>
      </c>
      <c r="D36" s="34" t="s">
        <v>94</v>
      </c>
      <c r="F36" s="34" t="s">
        <v>63</v>
      </c>
    </row>
    <row r="37" spans="2:6" x14ac:dyDescent="0.2">
      <c r="B37" s="34" t="s">
        <v>95</v>
      </c>
      <c r="C37" s="34" t="s">
        <v>61</v>
      </c>
      <c r="D37" s="34" t="s">
        <v>60</v>
      </c>
      <c r="F37" s="34" t="s">
        <v>64</v>
      </c>
    </row>
    <row r="38" spans="2:6" x14ac:dyDescent="0.2">
      <c r="B38" s="34"/>
      <c r="C38" s="34"/>
      <c r="D38" s="34"/>
      <c r="F38" s="34"/>
    </row>
    <row r="39" spans="2:6" x14ac:dyDescent="0.2">
      <c r="B39" s="34"/>
      <c r="C39" s="34"/>
      <c r="D39" s="34"/>
      <c r="F39" s="34"/>
    </row>
    <row r="40" spans="2:6" x14ac:dyDescent="0.2">
      <c r="B40" s="34"/>
      <c r="C40" s="34"/>
      <c r="D40" s="34"/>
      <c r="F40" s="34"/>
    </row>
    <row r="41" spans="2:6" x14ac:dyDescent="0.2">
      <c r="B41" s="34" t="s">
        <v>96</v>
      </c>
      <c r="C41" s="34" t="s">
        <v>81</v>
      </c>
      <c r="D41" s="34" t="s">
        <v>62</v>
      </c>
      <c r="F41" s="34" t="s">
        <v>65</v>
      </c>
    </row>
  </sheetData>
  <pageMargins left="0.25" right="0.25" top="0.75" bottom="0.75" header="0.3" footer="0.3"/>
  <pageSetup paperSize="9" scale="53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29CD-6098-455F-A5D9-A8BB7EBC4E74}">
  <sheetPr>
    <pageSetUpPr fitToPage="1"/>
  </sheetPr>
  <dimension ref="A2:H41"/>
  <sheetViews>
    <sheetView zoomScale="58" zoomScaleNormal="70" workbookViewId="0">
      <selection activeCell="F30" sqref="F30"/>
    </sheetView>
  </sheetViews>
  <sheetFormatPr defaultColWidth="9.14453125" defaultRowHeight="15" x14ac:dyDescent="0.2"/>
  <cols>
    <col min="1" max="1" width="9.14453125" style="22"/>
    <col min="2" max="2" width="22.8671875" style="22" customWidth="1"/>
    <col min="3" max="3" width="24.88671875" style="22" customWidth="1"/>
    <col min="4" max="4" width="22.59765625" style="22" customWidth="1"/>
    <col min="5" max="5" width="13.85546875" style="22" customWidth="1"/>
    <col min="6" max="6" width="12.64453125" style="22" customWidth="1"/>
    <col min="7" max="7" width="22.05859375" style="22" customWidth="1"/>
    <col min="8" max="16384" width="9.14453125" style="22"/>
  </cols>
  <sheetData>
    <row r="2" spans="1:4" ht="12.75" customHeight="1" x14ac:dyDescent="0.2"/>
    <row r="3" spans="1:4" ht="21" x14ac:dyDescent="0.3">
      <c r="C3" s="42" t="s">
        <v>40</v>
      </c>
      <c r="D3" s="23"/>
    </row>
    <row r="4" spans="1:4" ht="21" x14ac:dyDescent="0.3">
      <c r="C4" s="42" t="s">
        <v>110</v>
      </c>
      <c r="D4" s="23"/>
    </row>
    <row r="5" spans="1:4" x14ac:dyDescent="0.2">
      <c r="C5" s="23"/>
      <c r="D5" s="23"/>
    </row>
    <row r="6" spans="1:4" x14ac:dyDescent="0.2">
      <c r="A6" s="22" t="s">
        <v>128</v>
      </c>
      <c r="D6" s="23"/>
    </row>
    <row r="7" spans="1:4" x14ac:dyDescent="0.2">
      <c r="A7" s="22" t="s">
        <v>163</v>
      </c>
      <c r="D7" s="23"/>
    </row>
    <row r="8" spans="1:4" x14ac:dyDescent="0.2">
      <c r="A8" s="22" t="s">
        <v>164</v>
      </c>
      <c r="D8" s="23"/>
    </row>
    <row r="9" spans="1:4" x14ac:dyDescent="0.2">
      <c r="A9" s="22" t="s">
        <v>179</v>
      </c>
      <c r="D9" s="23"/>
    </row>
    <row r="10" spans="1:4" x14ac:dyDescent="0.2">
      <c r="C10" s="23"/>
      <c r="D10" s="23"/>
    </row>
    <row r="11" spans="1:4" x14ac:dyDescent="0.2">
      <c r="A11" s="24" t="s">
        <v>26</v>
      </c>
      <c r="B11" s="24" t="s">
        <v>47</v>
      </c>
      <c r="C11" s="24" t="s">
        <v>41</v>
      </c>
      <c r="D11" s="24" t="s">
        <v>48</v>
      </c>
    </row>
    <row r="12" spans="1:4" x14ac:dyDescent="0.2">
      <c r="A12" s="26">
        <v>1</v>
      </c>
      <c r="B12" s="30" t="s">
        <v>90</v>
      </c>
      <c r="C12" s="27">
        <v>45762</v>
      </c>
      <c r="D12" s="31">
        <v>1965000</v>
      </c>
    </row>
    <row r="13" spans="1:4" x14ac:dyDescent="0.2">
      <c r="A13" s="26">
        <v>2</v>
      </c>
      <c r="B13" s="30" t="s">
        <v>51</v>
      </c>
      <c r="C13" s="27">
        <v>45762</v>
      </c>
      <c r="D13" s="31">
        <v>1400000</v>
      </c>
    </row>
    <row r="14" spans="1:4" x14ac:dyDescent="0.2">
      <c r="A14" s="26">
        <v>3</v>
      </c>
      <c r="B14" s="30" t="s">
        <v>53</v>
      </c>
      <c r="C14" s="27">
        <v>45762</v>
      </c>
      <c r="D14" s="31">
        <v>2215000</v>
      </c>
    </row>
    <row r="15" spans="1:4" x14ac:dyDescent="0.2">
      <c r="A15" s="26">
        <v>4</v>
      </c>
      <c r="B15" s="30" t="s">
        <v>55</v>
      </c>
      <c r="C15" s="27">
        <v>45762</v>
      </c>
      <c r="D15" s="31">
        <v>795000</v>
      </c>
    </row>
    <row r="16" spans="1:4" ht="18.75" x14ac:dyDescent="0.25">
      <c r="A16" s="30" t="s">
        <v>28</v>
      </c>
      <c r="B16" s="26"/>
      <c r="C16" s="26"/>
      <c r="D16" s="39">
        <f>SUM(D12:D15)</f>
        <v>6375000</v>
      </c>
    </row>
    <row r="18" spans="1:8" x14ac:dyDescent="0.2">
      <c r="A18" s="24" t="s">
        <v>26</v>
      </c>
      <c r="B18" s="24" t="s">
        <v>41</v>
      </c>
      <c r="C18" s="24" t="s">
        <v>42</v>
      </c>
      <c r="D18" s="24" t="s">
        <v>43</v>
      </c>
      <c r="E18" s="40" t="s">
        <v>44</v>
      </c>
      <c r="F18" s="40" t="s">
        <v>45</v>
      </c>
      <c r="G18" s="24" t="s">
        <v>46</v>
      </c>
      <c r="H18" s="25"/>
    </row>
    <row r="19" spans="1:8" x14ac:dyDescent="0.2">
      <c r="A19" s="26">
        <v>1</v>
      </c>
      <c r="B19" s="27">
        <v>45763</v>
      </c>
      <c r="C19" s="30" t="s">
        <v>49</v>
      </c>
      <c r="D19" s="26"/>
      <c r="E19" s="31">
        <f>D16</f>
        <v>6375000</v>
      </c>
      <c r="F19" s="26"/>
      <c r="G19" s="26"/>
      <c r="H19" s="25"/>
    </row>
    <row r="20" spans="1:8" x14ac:dyDescent="0.2">
      <c r="A20" s="26">
        <v>2</v>
      </c>
      <c r="B20" s="27"/>
      <c r="C20" s="30" t="s">
        <v>50</v>
      </c>
      <c r="D20" s="28">
        <v>28000</v>
      </c>
      <c r="E20" s="29"/>
      <c r="F20" s="31">
        <f>D20*52</f>
        <v>1456000</v>
      </c>
      <c r="G20" s="30" t="s">
        <v>131</v>
      </c>
      <c r="H20" s="25"/>
    </row>
    <row r="21" spans="1:8" x14ac:dyDescent="0.2">
      <c r="A21" s="26">
        <v>5</v>
      </c>
      <c r="B21" s="27"/>
      <c r="C21" s="30" t="s">
        <v>56</v>
      </c>
      <c r="D21" s="28">
        <v>30000</v>
      </c>
      <c r="E21" s="26"/>
      <c r="F21" s="31">
        <f>D21*65</f>
        <v>1950000</v>
      </c>
      <c r="G21" s="31" t="s">
        <v>132</v>
      </c>
      <c r="H21" s="25"/>
    </row>
    <row r="22" spans="1:8" x14ac:dyDescent="0.2">
      <c r="A22" s="26">
        <v>4</v>
      </c>
      <c r="B22" s="27"/>
      <c r="C22" s="30" t="s">
        <v>54</v>
      </c>
      <c r="D22" s="28">
        <v>10000</v>
      </c>
      <c r="E22" s="26"/>
      <c r="F22" s="31">
        <f>D22*65</f>
        <v>650000</v>
      </c>
      <c r="G22" s="30" t="s">
        <v>133</v>
      </c>
      <c r="H22" s="25"/>
    </row>
    <row r="23" spans="1:8" x14ac:dyDescent="0.2">
      <c r="A23" s="26">
        <v>3</v>
      </c>
      <c r="B23" s="27"/>
      <c r="C23" s="30" t="s">
        <v>52</v>
      </c>
      <c r="D23" s="28">
        <v>5000</v>
      </c>
      <c r="E23" s="26"/>
      <c r="F23" s="31">
        <f>D23*62+62000</f>
        <v>372000</v>
      </c>
      <c r="G23" s="41" t="s">
        <v>172</v>
      </c>
      <c r="H23" s="25"/>
    </row>
    <row r="24" spans="1:8" x14ac:dyDescent="0.2">
      <c r="A24" s="26">
        <v>6</v>
      </c>
      <c r="B24" s="27"/>
      <c r="C24" s="30" t="s">
        <v>84</v>
      </c>
      <c r="D24" s="28">
        <v>5000</v>
      </c>
      <c r="E24" s="26"/>
      <c r="F24" s="31">
        <f>D24*60</f>
        <v>300000</v>
      </c>
      <c r="G24" s="30" t="s">
        <v>178</v>
      </c>
      <c r="H24" s="25"/>
    </row>
    <row r="25" spans="1:8" x14ac:dyDescent="0.2">
      <c r="A25" s="26">
        <v>7</v>
      </c>
      <c r="B25" s="27"/>
      <c r="C25" s="30" t="s">
        <v>82</v>
      </c>
      <c r="D25" s="28">
        <v>5000</v>
      </c>
      <c r="E25" s="26"/>
      <c r="F25" s="31">
        <f>D25*60</f>
        <v>300000</v>
      </c>
      <c r="G25" s="30" t="s">
        <v>178</v>
      </c>
      <c r="H25" s="25"/>
    </row>
    <row r="26" spans="1:8" x14ac:dyDescent="0.2">
      <c r="A26" s="26">
        <v>8</v>
      </c>
      <c r="B26" s="27"/>
      <c r="C26" s="30" t="s">
        <v>57</v>
      </c>
      <c r="D26" s="28">
        <v>3000</v>
      </c>
      <c r="E26" s="26"/>
      <c r="F26" s="31">
        <f>D26*65</f>
        <v>195000</v>
      </c>
      <c r="G26" s="30" t="s">
        <v>136</v>
      </c>
      <c r="H26" s="25"/>
    </row>
    <row r="27" spans="1:8" x14ac:dyDescent="0.2">
      <c r="A27" s="26">
        <v>9</v>
      </c>
      <c r="B27" s="27"/>
      <c r="C27" s="30" t="s">
        <v>66</v>
      </c>
      <c r="D27" s="28">
        <v>3000</v>
      </c>
      <c r="E27" s="26"/>
      <c r="F27" s="31">
        <f>D27*65</f>
        <v>195000</v>
      </c>
      <c r="G27" s="30" t="s">
        <v>136</v>
      </c>
      <c r="H27" s="25"/>
    </row>
    <row r="28" spans="1:8" x14ac:dyDescent="0.2">
      <c r="A28" s="26">
        <v>10</v>
      </c>
      <c r="B28" s="27"/>
      <c r="C28" s="30" t="s">
        <v>67</v>
      </c>
      <c r="D28" s="28">
        <v>28000</v>
      </c>
      <c r="E28" s="26"/>
      <c r="F28" s="31">
        <f>D28*7+65000</f>
        <v>261000</v>
      </c>
      <c r="G28" s="30" t="s">
        <v>129</v>
      </c>
      <c r="H28" s="25"/>
    </row>
    <row r="29" spans="1:8" x14ac:dyDescent="0.2">
      <c r="A29" s="26">
        <v>11</v>
      </c>
      <c r="B29" s="27"/>
      <c r="C29" s="30" t="s">
        <v>91</v>
      </c>
      <c r="D29" s="28">
        <v>5000</v>
      </c>
      <c r="E29" s="26"/>
      <c r="F29" s="31">
        <f>D29*50</f>
        <v>250000</v>
      </c>
      <c r="G29" s="30" t="s">
        <v>155</v>
      </c>
      <c r="H29" s="25"/>
    </row>
    <row r="30" spans="1:8" x14ac:dyDescent="0.2">
      <c r="A30" s="26">
        <v>12</v>
      </c>
      <c r="B30" s="27"/>
      <c r="C30" s="30" t="s">
        <v>102</v>
      </c>
      <c r="D30" s="28"/>
      <c r="E30" s="26"/>
      <c r="F30" s="31">
        <f>G30</f>
        <v>250000</v>
      </c>
      <c r="G30" s="31">
        <v>250000</v>
      </c>
      <c r="H30" s="25"/>
    </row>
    <row r="31" spans="1:8" ht="18.75" x14ac:dyDescent="0.25">
      <c r="A31" s="26">
        <v>13</v>
      </c>
      <c r="B31" s="26"/>
      <c r="C31" s="30" t="s">
        <v>58</v>
      </c>
      <c r="D31" s="26"/>
      <c r="E31" s="39">
        <f>SUM(E19)</f>
        <v>6375000</v>
      </c>
      <c r="F31" s="39">
        <f>SUM(F20:F30)</f>
        <v>6179000</v>
      </c>
      <c r="G31" s="39">
        <f>E31-F31</f>
        <v>196000</v>
      </c>
      <c r="H31" s="25"/>
    </row>
    <row r="32" spans="1:8" x14ac:dyDescent="0.2">
      <c r="A32" s="22" t="s">
        <v>169</v>
      </c>
      <c r="B32" s="23"/>
      <c r="C32" s="45" t="s">
        <v>166</v>
      </c>
      <c r="D32" s="23"/>
    </row>
    <row r="33" spans="2:6" x14ac:dyDescent="0.2">
      <c r="B33" s="44" t="s">
        <v>105</v>
      </c>
      <c r="C33" s="22" t="s">
        <v>174</v>
      </c>
    </row>
    <row r="34" spans="2:6" x14ac:dyDescent="0.2">
      <c r="B34" s="44" t="s">
        <v>170</v>
      </c>
      <c r="C34" s="22" t="s">
        <v>168</v>
      </c>
    </row>
    <row r="35" spans="2:6" x14ac:dyDescent="0.2">
      <c r="B35" s="44"/>
    </row>
    <row r="36" spans="2:6" x14ac:dyDescent="0.2">
      <c r="B36" s="34" t="s">
        <v>93</v>
      </c>
      <c r="C36" s="34" t="s">
        <v>59</v>
      </c>
      <c r="D36" s="34" t="s">
        <v>94</v>
      </c>
      <c r="F36" s="34" t="s">
        <v>63</v>
      </c>
    </row>
    <row r="37" spans="2:6" x14ac:dyDescent="0.2">
      <c r="B37" s="34" t="s">
        <v>95</v>
      </c>
      <c r="C37" s="34" t="s">
        <v>61</v>
      </c>
      <c r="D37" s="34" t="s">
        <v>60</v>
      </c>
      <c r="F37" s="34" t="s">
        <v>64</v>
      </c>
    </row>
    <row r="38" spans="2:6" x14ac:dyDescent="0.2">
      <c r="B38" s="34"/>
      <c r="C38" s="34"/>
      <c r="D38" s="34"/>
      <c r="F38" s="34"/>
    </row>
    <row r="39" spans="2:6" x14ac:dyDescent="0.2">
      <c r="B39" s="34"/>
      <c r="C39" s="34"/>
      <c r="D39" s="34"/>
      <c r="F39" s="34"/>
    </row>
    <row r="40" spans="2:6" x14ac:dyDescent="0.2">
      <c r="B40" s="34"/>
      <c r="C40" s="34"/>
      <c r="D40" s="34"/>
      <c r="F40" s="34"/>
    </row>
    <row r="41" spans="2:6" x14ac:dyDescent="0.2">
      <c r="B41" s="34" t="s">
        <v>96</v>
      </c>
      <c r="C41" s="34" t="s">
        <v>81</v>
      </c>
      <c r="D41" s="34" t="s">
        <v>62</v>
      </c>
      <c r="F41" s="34" t="s">
        <v>65</v>
      </c>
    </row>
  </sheetData>
  <pageMargins left="0.25" right="0.25" top="0.75" bottom="0.75" header="0.3" footer="0.3"/>
  <pageSetup paperSize="9" scale="53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3A13-69B2-4A20-9179-57E32A8378AE}">
  <sheetPr>
    <pageSetUpPr fitToPage="1"/>
  </sheetPr>
  <dimension ref="A2:H41"/>
  <sheetViews>
    <sheetView zoomScale="62" zoomScaleNormal="70" workbookViewId="0">
      <selection activeCell="G30" sqref="G30"/>
    </sheetView>
  </sheetViews>
  <sheetFormatPr defaultColWidth="9.14453125" defaultRowHeight="15" x14ac:dyDescent="0.2"/>
  <cols>
    <col min="1" max="1" width="9.14453125" style="22"/>
    <col min="2" max="2" width="22.8671875" style="22" customWidth="1"/>
    <col min="3" max="3" width="51.38671875" style="22" bestFit="1" customWidth="1"/>
    <col min="4" max="4" width="22.59765625" style="22" customWidth="1"/>
    <col min="5" max="5" width="13.85546875" style="22" customWidth="1"/>
    <col min="6" max="6" width="12.64453125" style="22" customWidth="1"/>
    <col min="7" max="7" width="22.05859375" style="22" customWidth="1"/>
    <col min="8" max="16384" width="9.14453125" style="22"/>
  </cols>
  <sheetData>
    <row r="2" spans="1:4" ht="12.75" customHeight="1" x14ac:dyDescent="0.2"/>
    <row r="3" spans="1:4" ht="21" x14ac:dyDescent="0.3">
      <c r="C3" s="42" t="s">
        <v>40</v>
      </c>
      <c r="D3" s="23"/>
    </row>
    <row r="4" spans="1:4" ht="21" x14ac:dyDescent="0.3">
      <c r="C4" s="42" t="s">
        <v>122</v>
      </c>
      <c r="D4" s="23"/>
    </row>
    <row r="5" spans="1:4" x14ac:dyDescent="0.2">
      <c r="C5" s="23"/>
      <c r="D5" s="23"/>
    </row>
    <row r="6" spans="1:4" x14ac:dyDescent="0.2">
      <c r="A6" s="22" t="s">
        <v>111</v>
      </c>
      <c r="D6" s="23"/>
    </row>
    <row r="7" spans="1:4" x14ac:dyDescent="0.2">
      <c r="A7" s="22" t="s">
        <v>152</v>
      </c>
      <c r="D7" s="23"/>
    </row>
    <row r="8" spans="1:4" x14ac:dyDescent="0.2">
      <c r="A8" s="22" t="s">
        <v>153</v>
      </c>
      <c r="D8" s="23"/>
    </row>
    <row r="9" spans="1:4" x14ac:dyDescent="0.2">
      <c r="A9" s="22" t="s">
        <v>179</v>
      </c>
      <c r="D9" s="23"/>
    </row>
    <row r="10" spans="1:4" x14ac:dyDescent="0.2">
      <c r="C10" s="23"/>
      <c r="D10" s="23"/>
    </row>
    <row r="11" spans="1:4" x14ac:dyDescent="0.2">
      <c r="A11" s="24" t="s">
        <v>26</v>
      </c>
      <c r="B11" s="24" t="s">
        <v>47</v>
      </c>
      <c r="C11" s="24" t="s">
        <v>41</v>
      </c>
      <c r="D11" s="24" t="s">
        <v>48</v>
      </c>
    </row>
    <row r="12" spans="1:4" x14ac:dyDescent="0.2">
      <c r="A12" s="26">
        <v>1</v>
      </c>
      <c r="B12" s="30" t="s">
        <v>90</v>
      </c>
      <c r="C12" s="27">
        <v>45792</v>
      </c>
      <c r="D12" s="31">
        <v>1565000</v>
      </c>
    </row>
    <row r="13" spans="1:4" x14ac:dyDescent="0.2">
      <c r="A13" s="26">
        <v>2</v>
      </c>
      <c r="B13" s="30" t="s">
        <v>51</v>
      </c>
      <c r="C13" s="27">
        <v>45792</v>
      </c>
      <c r="D13" s="31">
        <v>2120000</v>
      </c>
    </row>
    <row r="14" spans="1:4" x14ac:dyDescent="0.2">
      <c r="A14" s="26">
        <v>3</v>
      </c>
      <c r="B14" s="30" t="s">
        <v>53</v>
      </c>
      <c r="C14" s="27">
        <v>45792</v>
      </c>
      <c r="D14" s="31">
        <v>2215000</v>
      </c>
    </row>
    <row r="15" spans="1:4" x14ac:dyDescent="0.2">
      <c r="A15" s="26">
        <v>4</v>
      </c>
      <c r="B15" s="30" t="s">
        <v>55</v>
      </c>
      <c r="C15" s="27">
        <v>45792</v>
      </c>
      <c r="D15" s="31">
        <v>910000</v>
      </c>
    </row>
    <row r="16" spans="1:4" ht="18.75" x14ac:dyDescent="0.25">
      <c r="A16" s="30" t="s">
        <v>28</v>
      </c>
      <c r="B16" s="26"/>
      <c r="C16" s="26"/>
      <c r="D16" s="39">
        <f>SUM(D12:D15)</f>
        <v>6810000</v>
      </c>
    </row>
    <row r="18" spans="1:8" x14ac:dyDescent="0.2">
      <c r="A18" s="24" t="s">
        <v>26</v>
      </c>
      <c r="B18" s="24" t="s">
        <v>41</v>
      </c>
      <c r="C18" s="24" t="s">
        <v>42</v>
      </c>
      <c r="D18" s="24" t="s">
        <v>43</v>
      </c>
      <c r="E18" s="40" t="s">
        <v>44</v>
      </c>
      <c r="F18" s="40" t="s">
        <v>45</v>
      </c>
      <c r="G18" s="24" t="s">
        <v>46</v>
      </c>
      <c r="H18" s="25"/>
    </row>
    <row r="19" spans="1:8" x14ac:dyDescent="0.2">
      <c r="A19" s="26">
        <v>1</v>
      </c>
      <c r="B19" s="27">
        <v>45793</v>
      </c>
      <c r="C19" s="30" t="s">
        <v>49</v>
      </c>
      <c r="D19" s="26"/>
      <c r="E19" s="31">
        <f>D16</f>
        <v>6810000</v>
      </c>
      <c r="F19" s="26"/>
      <c r="G19" s="26"/>
      <c r="H19" s="25"/>
    </row>
    <row r="20" spans="1:8" x14ac:dyDescent="0.2">
      <c r="A20" s="26">
        <v>2</v>
      </c>
      <c r="B20" s="27"/>
      <c r="C20" s="30" t="s">
        <v>50</v>
      </c>
      <c r="D20" s="28">
        <v>28000</v>
      </c>
      <c r="E20" s="29"/>
      <c r="F20" s="31">
        <f>D20*51</f>
        <v>1428000</v>
      </c>
      <c r="G20" s="30" t="s">
        <v>121</v>
      </c>
      <c r="H20" s="25"/>
    </row>
    <row r="21" spans="1:8" x14ac:dyDescent="0.2">
      <c r="A21" s="26">
        <v>5</v>
      </c>
      <c r="B21" s="27"/>
      <c r="C21" s="30" t="s">
        <v>56</v>
      </c>
      <c r="D21" s="28">
        <v>30000</v>
      </c>
      <c r="E21" s="26"/>
      <c r="F21" s="31">
        <f>D21*64</f>
        <v>1920000</v>
      </c>
      <c r="G21" s="31" t="s">
        <v>114</v>
      </c>
      <c r="H21" s="25"/>
    </row>
    <row r="22" spans="1:8" x14ac:dyDescent="0.2">
      <c r="A22" s="26">
        <v>4</v>
      </c>
      <c r="B22" s="27"/>
      <c r="C22" s="30" t="s">
        <v>54</v>
      </c>
      <c r="D22" s="28">
        <v>10000</v>
      </c>
      <c r="E22" s="26"/>
      <c r="F22" s="31">
        <f>D22*64</f>
        <v>640000</v>
      </c>
      <c r="G22" s="30" t="s">
        <v>115</v>
      </c>
      <c r="H22" s="25"/>
    </row>
    <row r="23" spans="1:8" x14ac:dyDescent="0.2">
      <c r="A23" s="26">
        <v>3</v>
      </c>
      <c r="B23" s="27"/>
      <c r="C23" s="30" t="s">
        <v>52</v>
      </c>
      <c r="D23" s="28">
        <v>6000</v>
      </c>
      <c r="E23" s="26"/>
      <c r="F23" s="31">
        <f>D23*61</f>
        <v>366000</v>
      </c>
      <c r="G23" s="41" t="s">
        <v>181</v>
      </c>
      <c r="H23" s="25"/>
    </row>
    <row r="24" spans="1:8" x14ac:dyDescent="0.2">
      <c r="A24" s="26">
        <v>6</v>
      </c>
      <c r="B24" s="27"/>
      <c r="C24" s="30" t="s">
        <v>84</v>
      </c>
      <c r="D24" s="28">
        <v>5000</v>
      </c>
      <c r="E24" s="26"/>
      <c r="F24" s="31">
        <f>D24*59</f>
        <v>295000</v>
      </c>
      <c r="G24" s="30" t="s">
        <v>173</v>
      </c>
      <c r="H24" s="25"/>
    </row>
    <row r="25" spans="1:8" x14ac:dyDescent="0.2">
      <c r="A25" s="26">
        <v>7</v>
      </c>
      <c r="B25" s="27"/>
      <c r="C25" s="30" t="s">
        <v>82</v>
      </c>
      <c r="D25" s="28">
        <v>5000</v>
      </c>
      <c r="E25" s="26"/>
      <c r="F25" s="31">
        <f>D25*59</f>
        <v>295000</v>
      </c>
      <c r="G25" s="30" t="s">
        <v>173</v>
      </c>
      <c r="H25" s="25"/>
    </row>
    <row r="26" spans="1:8" x14ac:dyDescent="0.2">
      <c r="A26" s="26">
        <v>8</v>
      </c>
      <c r="B26" s="27"/>
      <c r="C26" s="30" t="s">
        <v>57</v>
      </c>
      <c r="D26" s="28">
        <v>3000</v>
      </c>
      <c r="E26" s="26"/>
      <c r="F26" s="31">
        <f>D26*64</f>
        <v>192000</v>
      </c>
      <c r="G26" s="30" t="s">
        <v>118</v>
      </c>
      <c r="H26" s="25"/>
    </row>
    <row r="27" spans="1:8" x14ac:dyDescent="0.2">
      <c r="A27" s="26">
        <v>9</v>
      </c>
      <c r="B27" s="27"/>
      <c r="C27" s="30" t="s">
        <v>66</v>
      </c>
      <c r="D27" s="28">
        <v>3000</v>
      </c>
      <c r="E27" s="26"/>
      <c r="F27" s="31">
        <f>D27*64</f>
        <v>192000</v>
      </c>
      <c r="G27" s="30" t="s">
        <v>118</v>
      </c>
      <c r="H27" s="25"/>
    </row>
    <row r="28" spans="1:8" x14ac:dyDescent="0.2">
      <c r="A28" s="26">
        <v>10</v>
      </c>
      <c r="B28" s="27"/>
      <c r="C28" s="30" t="s">
        <v>67</v>
      </c>
      <c r="D28" s="28">
        <v>28000</v>
      </c>
      <c r="E28" s="26"/>
      <c r="F28" s="31">
        <f>D28*7+64000</f>
        <v>260000</v>
      </c>
      <c r="G28" s="30" t="s">
        <v>119</v>
      </c>
      <c r="H28" s="25"/>
    </row>
    <row r="29" spans="1:8" x14ac:dyDescent="0.2">
      <c r="A29" s="26">
        <v>11</v>
      </c>
      <c r="B29" s="27"/>
      <c r="C29" s="30" t="s">
        <v>91</v>
      </c>
      <c r="D29" s="28">
        <v>5000</v>
      </c>
      <c r="E29" s="26"/>
      <c r="F29" s="31">
        <f>D29*50</f>
        <v>250000</v>
      </c>
      <c r="G29" s="30" t="s">
        <v>155</v>
      </c>
      <c r="H29" s="25"/>
    </row>
    <row r="30" spans="1:8" x14ac:dyDescent="0.2">
      <c r="A30" s="26">
        <v>12</v>
      </c>
      <c r="B30" s="27"/>
      <c r="C30" s="30" t="s">
        <v>102</v>
      </c>
      <c r="D30" s="28"/>
      <c r="E30" s="26"/>
      <c r="F30" s="31">
        <f>MEI!G30</f>
        <v>250000</v>
      </c>
      <c r="G30" s="31">
        <v>250000</v>
      </c>
      <c r="H30" s="25"/>
    </row>
    <row r="31" spans="1:8" ht="18.75" x14ac:dyDescent="0.25">
      <c r="A31" s="26">
        <v>13</v>
      </c>
      <c r="B31" s="26"/>
      <c r="C31" s="30" t="s">
        <v>58</v>
      </c>
      <c r="D31" s="26"/>
      <c r="E31" s="39">
        <f>SUM(E19)</f>
        <v>6810000</v>
      </c>
      <c r="F31" s="39">
        <f>SUM(F20:F30)</f>
        <v>6088000</v>
      </c>
      <c r="G31" s="39">
        <f>E31-F31</f>
        <v>722000</v>
      </c>
      <c r="H31" s="25"/>
    </row>
    <row r="32" spans="1:8" x14ac:dyDescent="0.2">
      <c r="A32" s="22" t="s">
        <v>125</v>
      </c>
      <c r="B32" s="23"/>
      <c r="C32" s="45" t="s">
        <v>108</v>
      </c>
      <c r="D32" s="23"/>
    </row>
    <row r="33" spans="2:6" x14ac:dyDescent="0.2">
      <c r="B33" s="44" t="s">
        <v>105</v>
      </c>
      <c r="C33" s="22" t="s">
        <v>106</v>
      </c>
    </row>
    <row r="34" spans="2:6" x14ac:dyDescent="0.2">
      <c r="B34" s="44" t="s">
        <v>124</v>
      </c>
      <c r="C34" s="22" t="s">
        <v>107</v>
      </c>
    </row>
    <row r="35" spans="2:6" x14ac:dyDescent="0.2">
      <c r="B35" s="44"/>
    </row>
    <row r="36" spans="2:6" x14ac:dyDescent="0.2">
      <c r="B36" s="34" t="s">
        <v>93</v>
      </c>
      <c r="C36" s="34" t="s">
        <v>59</v>
      </c>
      <c r="D36" s="34" t="s">
        <v>94</v>
      </c>
      <c r="F36" s="34" t="s">
        <v>63</v>
      </c>
    </row>
    <row r="37" spans="2:6" x14ac:dyDescent="0.2">
      <c r="B37" s="34" t="s">
        <v>95</v>
      </c>
      <c r="C37" s="34" t="s">
        <v>61</v>
      </c>
      <c r="D37" s="34" t="s">
        <v>60</v>
      </c>
      <c r="F37" s="34" t="s">
        <v>64</v>
      </c>
    </row>
    <row r="38" spans="2:6" x14ac:dyDescent="0.2">
      <c r="B38" s="34"/>
      <c r="C38" s="34"/>
      <c r="D38" s="34"/>
      <c r="F38" s="34"/>
    </row>
    <row r="39" spans="2:6" x14ac:dyDescent="0.2">
      <c r="B39" s="34"/>
      <c r="C39" s="34"/>
      <c r="D39" s="34"/>
      <c r="F39" s="34"/>
    </row>
    <row r="40" spans="2:6" x14ac:dyDescent="0.2">
      <c r="B40" s="34"/>
      <c r="C40" s="34"/>
      <c r="D40" s="34"/>
      <c r="F40" s="34"/>
    </row>
    <row r="41" spans="2:6" x14ac:dyDescent="0.2">
      <c r="B41" s="34" t="s">
        <v>96</v>
      </c>
      <c r="C41" s="34" t="s">
        <v>81</v>
      </c>
      <c r="D41" s="34" t="s">
        <v>62</v>
      </c>
      <c r="F41" s="34" t="s">
        <v>65</v>
      </c>
    </row>
  </sheetData>
  <pageMargins left="0.25" right="0.25" top="0.75" bottom="0.75" header="0.3" footer="0.3"/>
  <pageSetup paperSize="9" scale="53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D98C-70CE-4E86-9778-073CC3164C18}">
  <sheetPr>
    <pageSetUpPr fitToPage="1"/>
  </sheetPr>
  <dimension ref="A2:H41"/>
  <sheetViews>
    <sheetView zoomScale="62" zoomScaleNormal="70" workbookViewId="0">
      <selection activeCell="E32" sqref="E32"/>
    </sheetView>
  </sheetViews>
  <sheetFormatPr defaultColWidth="9.14453125" defaultRowHeight="15" x14ac:dyDescent="0.2"/>
  <cols>
    <col min="1" max="1" width="9.14453125" style="22"/>
    <col min="2" max="2" width="22.8671875" style="22" customWidth="1"/>
    <col min="3" max="3" width="51.38671875" style="22" bestFit="1" customWidth="1"/>
    <col min="4" max="4" width="22.59765625" style="22" customWidth="1"/>
    <col min="5" max="5" width="13.85546875" style="22" customWidth="1"/>
    <col min="6" max="6" width="12.64453125" style="22" customWidth="1"/>
    <col min="7" max="7" width="22.05859375" style="22" customWidth="1"/>
    <col min="8" max="16384" width="9.14453125" style="22"/>
  </cols>
  <sheetData>
    <row r="2" spans="1:4" ht="12.75" customHeight="1" x14ac:dyDescent="0.2"/>
    <row r="3" spans="1:4" ht="21" x14ac:dyDescent="0.3">
      <c r="C3" s="42" t="s">
        <v>40</v>
      </c>
      <c r="D3" s="23"/>
    </row>
    <row r="4" spans="1:4" ht="21" x14ac:dyDescent="0.3">
      <c r="C4" s="42" t="s">
        <v>123</v>
      </c>
      <c r="D4" s="23"/>
    </row>
    <row r="5" spans="1:4" x14ac:dyDescent="0.2">
      <c r="C5" s="23"/>
      <c r="D5" s="23"/>
    </row>
    <row r="6" spans="1:4" x14ac:dyDescent="0.2">
      <c r="A6" s="22" t="s">
        <v>111</v>
      </c>
      <c r="D6" s="23"/>
    </row>
    <row r="7" spans="1:4" x14ac:dyDescent="0.2">
      <c r="A7" s="22" t="s">
        <v>152</v>
      </c>
      <c r="D7" s="23"/>
    </row>
    <row r="8" spans="1:4" x14ac:dyDescent="0.2">
      <c r="A8" s="22" t="s">
        <v>153</v>
      </c>
      <c r="D8" s="23"/>
    </row>
    <row r="9" spans="1:4" x14ac:dyDescent="0.2">
      <c r="A9" s="22" t="s">
        <v>179</v>
      </c>
      <c r="D9" s="23"/>
    </row>
    <row r="10" spans="1:4" x14ac:dyDescent="0.2">
      <c r="C10" s="23"/>
      <c r="D10" s="23"/>
    </row>
    <row r="11" spans="1:4" x14ac:dyDescent="0.2">
      <c r="A11" s="24" t="s">
        <v>26</v>
      </c>
      <c r="B11" s="24" t="s">
        <v>47</v>
      </c>
      <c r="C11" s="24" t="s">
        <v>41</v>
      </c>
      <c r="D11" s="24" t="s">
        <v>48</v>
      </c>
    </row>
    <row r="12" spans="1:4" x14ac:dyDescent="0.2">
      <c r="A12" s="26">
        <v>1</v>
      </c>
      <c r="B12" s="30" t="s">
        <v>90</v>
      </c>
      <c r="C12" s="27">
        <v>45823</v>
      </c>
      <c r="D12" s="31">
        <v>1335000</v>
      </c>
    </row>
    <row r="13" spans="1:4" x14ac:dyDescent="0.2">
      <c r="A13" s="26">
        <v>2</v>
      </c>
      <c r="B13" s="30" t="s">
        <v>51</v>
      </c>
      <c r="C13" s="27">
        <v>45823</v>
      </c>
      <c r="D13" s="31">
        <v>2930000</v>
      </c>
    </row>
    <row r="14" spans="1:4" x14ac:dyDescent="0.2">
      <c r="A14" s="26">
        <v>3</v>
      </c>
      <c r="B14" s="30" t="s">
        <v>53</v>
      </c>
      <c r="C14" s="27">
        <v>45823</v>
      </c>
      <c r="D14" s="31">
        <v>1975000</v>
      </c>
    </row>
    <row r="15" spans="1:4" x14ac:dyDescent="0.2">
      <c r="A15" s="26">
        <v>4</v>
      </c>
      <c r="B15" s="30" t="s">
        <v>55</v>
      </c>
      <c r="C15" s="27">
        <v>45823</v>
      </c>
      <c r="D15" s="31">
        <v>910000</v>
      </c>
    </row>
    <row r="16" spans="1:4" ht="18.75" x14ac:dyDescent="0.25">
      <c r="A16" s="30" t="s">
        <v>28</v>
      </c>
      <c r="B16" s="26"/>
      <c r="C16" s="26"/>
      <c r="D16" s="39">
        <f>SUM(D12:D15)</f>
        <v>7150000</v>
      </c>
    </row>
    <row r="18" spans="1:8" x14ac:dyDescent="0.2">
      <c r="A18" s="24" t="s">
        <v>26</v>
      </c>
      <c r="B18" s="24" t="s">
        <v>41</v>
      </c>
      <c r="C18" s="24" t="s">
        <v>42</v>
      </c>
      <c r="D18" s="24" t="s">
        <v>43</v>
      </c>
      <c r="E18" s="40" t="s">
        <v>44</v>
      </c>
      <c r="F18" s="40" t="s">
        <v>45</v>
      </c>
      <c r="G18" s="24" t="s">
        <v>46</v>
      </c>
      <c r="H18" s="25"/>
    </row>
    <row r="19" spans="1:8" x14ac:dyDescent="0.2">
      <c r="A19" s="26">
        <v>1</v>
      </c>
      <c r="B19" s="27">
        <v>45824</v>
      </c>
      <c r="C19" s="30" t="s">
        <v>49</v>
      </c>
      <c r="D19" s="26"/>
      <c r="E19" s="31">
        <f>D16</f>
        <v>7150000</v>
      </c>
      <c r="F19" s="26"/>
      <c r="G19" s="26"/>
      <c r="H19" s="25"/>
    </row>
    <row r="20" spans="1:8" x14ac:dyDescent="0.2">
      <c r="A20" s="26">
        <v>2</v>
      </c>
      <c r="B20" s="27"/>
      <c r="C20" s="30" t="s">
        <v>50</v>
      </c>
      <c r="D20" s="28">
        <v>28000</v>
      </c>
      <c r="E20" s="29"/>
      <c r="F20" s="31">
        <f>D20*51</f>
        <v>1428000</v>
      </c>
      <c r="G20" s="30" t="s">
        <v>121</v>
      </c>
      <c r="H20" s="25"/>
    </row>
    <row r="21" spans="1:8" x14ac:dyDescent="0.2">
      <c r="A21" s="26">
        <v>5</v>
      </c>
      <c r="B21" s="27"/>
      <c r="C21" s="30" t="s">
        <v>56</v>
      </c>
      <c r="D21" s="28">
        <v>30000</v>
      </c>
      <c r="E21" s="26"/>
      <c r="F21" s="31">
        <f>D21*64</f>
        <v>1920000</v>
      </c>
      <c r="G21" s="31" t="s">
        <v>114</v>
      </c>
      <c r="H21" s="25"/>
    </row>
    <row r="22" spans="1:8" x14ac:dyDescent="0.2">
      <c r="A22" s="26">
        <v>4</v>
      </c>
      <c r="B22" s="27"/>
      <c r="C22" s="30" t="s">
        <v>54</v>
      </c>
      <c r="D22" s="28">
        <v>10000</v>
      </c>
      <c r="E22" s="26"/>
      <c r="F22" s="31">
        <f>D22*64</f>
        <v>640000</v>
      </c>
      <c r="G22" s="30" t="s">
        <v>115</v>
      </c>
      <c r="H22" s="25"/>
    </row>
    <row r="23" spans="1:8" x14ac:dyDescent="0.2">
      <c r="A23" s="26">
        <v>3</v>
      </c>
      <c r="B23" s="27"/>
      <c r="C23" s="30" t="s">
        <v>52</v>
      </c>
      <c r="D23" s="28">
        <v>6000</v>
      </c>
      <c r="E23" s="26"/>
      <c r="F23" s="31">
        <f>D23*61</f>
        <v>366000</v>
      </c>
      <c r="G23" s="41" t="s">
        <v>181</v>
      </c>
      <c r="H23" s="25"/>
    </row>
    <row r="24" spans="1:8" x14ac:dyDescent="0.2">
      <c r="A24" s="26">
        <v>6</v>
      </c>
      <c r="B24" s="27"/>
      <c r="C24" s="30" t="s">
        <v>84</v>
      </c>
      <c r="D24" s="28">
        <v>5000</v>
      </c>
      <c r="E24" s="26"/>
      <c r="F24" s="31">
        <f>D24*59</f>
        <v>295000</v>
      </c>
      <c r="G24" s="30" t="s">
        <v>173</v>
      </c>
      <c r="H24" s="25"/>
    </row>
    <row r="25" spans="1:8" x14ac:dyDescent="0.2">
      <c r="A25" s="26">
        <v>7</v>
      </c>
      <c r="B25" s="27"/>
      <c r="C25" s="30" t="s">
        <v>82</v>
      </c>
      <c r="D25" s="28">
        <v>5000</v>
      </c>
      <c r="E25" s="26"/>
      <c r="F25" s="31">
        <f>D25*59</f>
        <v>295000</v>
      </c>
      <c r="G25" s="30" t="s">
        <v>173</v>
      </c>
      <c r="H25" s="25"/>
    </row>
    <row r="26" spans="1:8" x14ac:dyDescent="0.2">
      <c r="A26" s="26">
        <v>8</v>
      </c>
      <c r="B26" s="27"/>
      <c r="C26" s="30" t="s">
        <v>57</v>
      </c>
      <c r="D26" s="28">
        <v>3000</v>
      </c>
      <c r="E26" s="26"/>
      <c r="F26" s="31">
        <f>D26*64</f>
        <v>192000</v>
      </c>
      <c r="G26" s="30" t="s">
        <v>118</v>
      </c>
      <c r="H26" s="25"/>
    </row>
    <row r="27" spans="1:8" x14ac:dyDescent="0.2">
      <c r="A27" s="26">
        <v>9</v>
      </c>
      <c r="B27" s="27"/>
      <c r="C27" s="30" t="s">
        <v>66</v>
      </c>
      <c r="D27" s="28">
        <v>3000</v>
      </c>
      <c r="E27" s="26"/>
      <c r="F27" s="31">
        <f>D27*64</f>
        <v>192000</v>
      </c>
      <c r="G27" s="30" t="s">
        <v>118</v>
      </c>
      <c r="H27" s="25"/>
    </row>
    <row r="28" spans="1:8" x14ac:dyDescent="0.2">
      <c r="A28" s="26">
        <v>10</v>
      </c>
      <c r="B28" s="27"/>
      <c r="C28" s="30" t="s">
        <v>67</v>
      </c>
      <c r="D28" s="28">
        <v>28000</v>
      </c>
      <c r="E28" s="26"/>
      <c r="F28" s="31">
        <f>D28*7+64000</f>
        <v>260000</v>
      </c>
      <c r="G28" s="30" t="s">
        <v>119</v>
      </c>
      <c r="H28" s="25"/>
    </row>
    <row r="29" spans="1:8" x14ac:dyDescent="0.2">
      <c r="A29" s="26">
        <v>11</v>
      </c>
      <c r="B29" s="27"/>
      <c r="C29" s="30" t="s">
        <v>91</v>
      </c>
      <c r="D29" s="28">
        <v>5000</v>
      </c>
      <c r="E29" s="26"/>
      <c r="F29" s="31">
        <f>D29*50</f>
        <v>250000</v>
      </c>
      <c r="G29" s="30" t="s">
        <v>155</v>
      </c>
      <c r="H29" s="25"/>
    </row>
    <row r="30" spans="1:8" x14ac:dyDescent="0.2">
      <c r="A30" s="26">
        <v>12</v>
      </c>
      <c r="B30" s="27"/>
      <c r="C30" s="30" t="s">
        <v>102</v>
      </c>
      <c r="D30" s="28"/>
      <c r="E30" s="26"/>
      <c r="F30" s="31">
        <f>G30</f>
        <v>250000</v>
      </c>
      <c r="G30" s="31">
        <v>250000</v>
      </c>
      <c r="H30" s="25"/>
    </row>
    <row r="31" spans="1:8" ht="18.75" x14ac:dyDescent="0.25">
      <c r="A31" s="26">
        <v>13</v>
      </c>
      <c r="B31" s="26"/>
      <c r="C31" s="30" t="s">
        <v>58</v>
      </c>
      <c r="D31" s="26"/>
      <c r="E31" s="39">
        <f>SUM(E19)</f>
        <v>7150000</v>
      </c>
      <c r="F31" s="39">
        <f>SUM(F20:F30)</f>
        <v>6088000</v>
      </c>
      <c r="G31" s="39">
        <f>E31-F31</f>
        <v>1062000</v>
      </c>
      <c r="H31" s="25"/>
    </row>
    <row r="32" spans="1:8" x14ac:dyDescent="0.2">
      <c r="A32" s="22" t="s">
        <v>125</v>
      </c>
      <c r="B32" s="23"/>
      <c r="C32" s="45" t="s">
        <v>108</v>
      </c>
      <c r="D32" s="23"/>
    </row>
    <row r="33" spans="2:6" x14ac:dyDescent="0.2">
      <c r="B33" s="44" t="s">
        <v>105</v>
      </c>
      <c r="C33" s="22" t="s">
        <v>106</v>
      </c>
    </row>
    <row r="34" spans="2:6" x14ac:dyDescent="0.2">
      <c r="B34" s="44" t="s">
        <v>124</v>
      </c>
      <c r="C34" s="22" t="s">
        <v>107</v>
      </c>
    </row>
    <row r="35" spans="2:6" x14ac:dyDescent="0.2">
      <c r="B35" s="44"/>
    </row>
    <row r="36" spans="2:6" x14ac:dyDescent="0.2">
      <c r="B36" s="34" t="s">
        <v>93</v>
      </c>
      <c r="C36" s="34" t="s">
        <v>59</v>
      </c>
      <c r="D36" s="34" t="s">
        <v>94</v>
      </c>
      <c r="F36" s="34" t="s">
        <v>63</v>
      </c>
    </row>
    <row r="37" spans="2:6" x14ac:dyDescent="0.2">
      <c r="B37" s="34" t="s">
        <v>95</v>
      </c>
      <c r="C37" s="34" t="s">
        <v>61</v>
      </c>
      <c r="D37" s="34" t="s">
        <v>60</v>
      </c>
      <c r="F37" s="34" t="s">
        <v>64</v>
      </c>
    </row>
    <row r="38" spans="2:6" x14ac:dyDescent="0.2">
      <c r="B38" s="34"/>
      <c r="C38" s="34"/>
      <c r="D38" s="34"/>
      <c r="F38" s="34"/>
    </row>
    <row r="39" spans="2:6" x14ac:dyDescent="0.2">
      <c r="B39" s="34"/>
      <c r="C39" s="34"/>
      <c r="D39" s="34"/>
      <c r="F39" s="34"/>
    </row>
    <row r="40" spans="2:6" x14ac:dyDescent="0.2">
      <c r="B40" s="34"/>
      <c r="C40" s="34"/>
      <c r="D40" s="34"/>
      <c r="F40" s="34"/>
    </row>
    <row r="41" spans="2:6" x14ac:dyDescent="0.2">
      <c r="B41" s="34" t="s">
        <v>96</v>
      </c>
      <c r="C41" s="34" t="s">
        <v>81</v>
      </c>
      <c r="D41" s="34" t="s">
        <v>62</v>
      </c>
      <c r="F41" s="34" t="s">
        <v>65</v>
      </c>
    </row>
  </sheetData>
  <pageMargins left="0.25" right="0.25" top="0.75" bottom="0.75" header="0.3" footer="0.3"/>
  <pageSetup paperSize="9" scale="53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8643-08DC-41D6-921C-3B9AE7BE54D3}">
  <sheetPr>
    <pageSetUpPr fitToPage="1"/>
  </sheetPr>
  <dimension ref="A2:H41"/>
  <sheetViews>
    <sheetView zoomScale="62" zoomScaleNormal="70" workbookViewId="0">
      <selection activeCell="F20" sqref="F20:F30"/>
    </sheetView>
  </sheetViews>
  <sheetFormatPr defaultColWidth="9.14453125" defaultRowHeight="15" x14ac:dyDescent="0.2"/>
  <cols>
    <col min="1" max="1" width="9.14453125" style="22"/>
    <col min="2" max="2" width="22.8671875" style="22" customWidth="1"/>
    <col min="3" max="3" width="51.38671875" style="22" bestFit="1" customWidth="1"/>
    <col min="4" max="4" width="22.59765625" style="22" customWidth="1"/>
    <col min="5" max="5" width="13.85546875" style="22" customWidth="1"/>
    <col min="6" max="6" width="12.64453125" style="22" customWidth="1"/>
    <col min="7" max="7" width="22.05859375" style="22" customWidth="1"/>
    <col min="8" max="16384" width="9.14453125" style="22"/>
  </cols>
  <sheetData>
    <row r="2" spans="1:4" ht="12.75" customHeight="1" x14ac:dyDescent="0.2"/>
    <row r="3" spans="1:4" ht="21" x14ac:dyDescent="0.3">
      <c r="C3" s="42" t="s">
        <v>40</v>
      </c>
      <c r="D3" s="23"/>
    </row>
    <row r="4" spans="1:4" ht="21" x14ac:dyDescent="0.3">
      <c r="C4" s="42" t="s">
        <v>126</v>
      </c>
      <c r="D4" s="23"/>
    </row>
    <row r="5" spans="1:4" x14ac:dyDescent="0.2">
      <c r="C5" s="23"/>
      <c r="D5" s="23"/>
    </row>
    <row r="6" spans="1:4" x14ac:dyDescent="0.2">
      <c r="A6" s="22" t="s">
        <v>111</v>
      </c>
      <c r="D6" s="23"/>
    </row>
    <row r="7" spans="1:4" x14ac:dyDescent="0.2">
      <c r="A7" s="22" t="s">
        <v>112</v>
      </c>
      <c r="D7" s="23"/>
    </row>
    <row r="8" spans="1:4" x14ac:dyDescent="0.2">
      <c r="A8" s="22" t="s">
        <v>113</v>
      </c>
      <c r="D8" s="23"/>
    </row>
    <row r="9" spans="1:4" x14ac:dyDescent="0.2">
      <c r="A9" s="22" t="s">
        <v>109</v>
      </c>
      <c r="D9" s="23"/>
    </row>
    <row r="10" spans="1:4" x14ac:dyDescent="0.2">
      <c r="C10" s="23"/>
      <c r="D10" s="23"/>
    </row>
    <row r="11" spans="1:4" x14ac:dyDescent="0.2">
      <c r="A11" s="24" t="s">
        <v>26</v>
      </c>
      <c r="B11" s="24" t="s">
        <v>47</v>
      </c>
      <c r="C11" s="24" t="s">
        <v>41</v>
      </c>
      <c r="D11" s="24" t="s">
        <v>48</v>
      </c>
    </row>
    <row r="12" spans="1:4" x14ac:dyDescent="0.2">
      <c r="A12" s="26">
        <v>1</v>
      </c>
      <c r="B12" s="30" t="s">
        <v>90</v>
      </c>
      <c r="C12" s="27">
        <v>45853</v>
      </c>
      <c r="D12" s="31"/>
    </row>
    <row r="13" spans="1:4" x14ac:dyDescent="0.2">
      <c r="A13" s="26">
        <v>2</v>
      </c>
      <c r="B13" s="30" t="s">
        <v>51</v>
      </c>
      <c r="C13" s="27">
        <v>45853</v>
      </c>
      <c r="D13" s="31"/>
    </row>
    <row r="14" spans="1:4" x14ac:dyDescent="0.2">
      <c r="A14" s="26">
        <v>3</v>
      </c>
      <c r="B14" s="30" t="s">
        <v>53</v>
      </c>
      <c r="C14" s="27">
        <v>45853</v>
      </c>
      <c r="D14" s="31"/>
    </row>
    <row r="15" spans="1:4" x14ac:dyDescent="0.2">
      <c r="A15" s="26">
        <v>4</v>
      </c>
      <c r="B15" s="30" t="s">
        <v>55</v>
      </c>
      <c r="C15" s="27">
        <v>45853</v>
      </c>
      <c r="D15" s="31"/>
    </row>
    <row r="16" spans="1:4" ht="18.75" x14ac:dyDescent="0.25">
      <c r="A16" s="30" t="s">
        <v>28</v>
      </c>
      <c r="B16" s="26"/>
      <c r="C16" s="26"/>
      <c r="D16" s="39">
        <f>SUM(D12:D15)</f>
        <v>0</v>
      </c>
    </row>
    <row r="18" spans="1:8" x14ac:dyDescent="0.2">
      <c r="A18" s="24" t="s">
        <v>26</v>
      </c>
      <c r="B18" s="24" t="s">
        <v>41</v>
      </c>
      <c r="C18" s="24" t="s">
        <v>42</v>
      </c>
      <c r="D18" s="24" t="s">
        <v>43</v>
      </c>
      <c r="E18" s="40" t="s">
        <v>44</v>
      </c>
      <c r="F18" s="40" t="s">
        <v>45</v>
      </c>
      <c r="G18" s="24" t="s">
        <v>46</v>
      </c>
      <c r="H18" s="25"/>
    </row>
    <row r="19" spans="1:8" x14ac:dyDescent="0.2">
      <c r="A19" s="26">
        <v>1</v>
      </c>
      <c r="B19" s="27">
        <v>45854</v>
      </c>
      <c r="C19" s="30" t="s">
        <v>49</v>
      </c>
      <c r="D19" s="26"/>
      <c r="E19" s="31">
        <f>D16</f>
        <v>0</v>
      </c>
      <c r="F19" s="26"/>
      <c r="G19" s="26"/>
      <c r="H19" s="25"/>
    </row>
    <row r="20" spans="1:8" x14ac:dyDescent="0.2">
      <c r="A20" s="26">
        <v>2</v>
      </c>
      <c r="B20" s="27"/>
      <c r="C20" s="30" t="s">
        <v>50</v>
      </c>
      <c r="D20" s="28">
        <v>28000</v>
      </c>
      <c r="E20" s="29"/>
      <c r="F20" s="31"/>
      <c r="G20" s="30" t="s">
        <v>121</v>
      </c>
      <c r="H20" s="25"/>
    </row>
    <row r="21" spans="1:8" x14ac:dyDescent="0.2">
      <c r="A21" s="26">
        <v>5</v>
      </c>
      <c r="B21" s="27"/>
      <c r="C21" s="30" t="s">
        <v>56</v>
      </c>
      <c r="D21" s="28">
        <v>30000</v>
      </c>
      <c r="E21" s="26"/>
      <c r="F21" s="31"/>
      <c r="G21" s="31" t="s">
        <v>114</v>
      </c>
      <c r="H21" s="25"/>
    </row>
    <row r="22" spans="1:8" x14ac:dyDescent="0.2">
      <c r="A22" s="26">
        <v>4</v>
      </c>
      <c r="B22" s="27"/>
      <c r="C22" s="30" t="s">
        <v>54</v>
      </c>
      <c r="D22" s="28">
        <v>10000</v>
      </c>
      <c r="E22" s="26"/>
      <c r="F22" s="31"/>
      <c r="G22" s="30" t="s">
        <v>115</v>
      </c>
      <c r="H22" s="25"/>
    </row>
    <row r="23" spans="1:8" x14ac:dyDescent="0.2">
      <c r="A23" s="26">
        <v>3</v>
      </c>
      <c r="B23" s="27"/>
      <c r="C23" s="30" t="s">
        <v>52</v>
      </c>
      <c r="D23" s="28">
        <v>6000</v>
      </c>
      <c r="E23" s="26"/>
      <c r="F23" s="31"/>
      <c r="G23" s="41" t="s">
        <v>116</v>
      </c>
      <c r="H23" s="25"/>
    </row>
    <row r="24" spans="1:8" x14ac:dyDescent="0.2">
      <c r="A24" s="26">
        <v>6</v>
      </c>
      <c r="B24" s="27"/>
      <c r="C24" s="30" t="s">
        <v>84</v>
      </c>
      <c r="D24" s="28">
        <v>5000</v>
      </c>
      <c r="E24" s="26"/>
      <c r="F24" s="31"/>
      <c r="G24" s="30" t="s">
        <v>117</v>
      </c>
      <c r="H24" s="25"/>
    </row>
    <row r="25" spans="1:8" x14ac:dyDescent="0.2">
      <c r="A25" s="26">
        <v>7</v>
      </c>
      <c r="B25" s="27"/>
      <c r="C25" s="30" t="s">
        <v>82</v>
      </c>
      <c r="D25" s="28">
        <v>5000</v>
      </c>
      <c r="E25" s="26"/>
      <c r="F25" s="31"/>
      <c r="G25" s="30" t="s">
        <v>117</v>
      </c>
      <c r="H25" s="25"/>
    </row>
    <row r="26" spans="1:8" x14ac:dyDescent="0.2">
      <c r="A26" s="26">
        <v>8</v>
      </c>
      <c r="B26" s="27"/>
      <c r="C26" s="30" t="s">
        <v>57</v>
      </c>
      <c r="D26" s="28">
        <v>3000</v>
      </c>
      <c r="E26" s="26"/>
      <c r="F26" s="31"/>
      <c r="G26" s="30" t="s">
        <v>118</v>
      </c>
      <c r="H26" s="25"/>
    </row>
    <row r="27" spans="1:8" x14ac:dyDescent="0.2">
      <c r="A27" s="26">
        <v>9</v>
      </c>
      <c r="B27" s="27"/>
      <c r="C27" s="30" t="s">
        <v>66</v>
      </c>
      <c r="D27" s="28">
        <v>3000</v>
      </c>
      <c r="E27" s="26"/>
      <c r="F27" s="31"/>
      <c r="G27" s="30" t="s">
        <v>118</v>
      </c>
      <c r="H27" s="25"/>
    </row>
    <row r="28" spans="1:8" x14ac:dyDescent="0.2">
      <c r="A28" s="26">
        <v>10</v>
      </c>
      <c r="B28" s="27"/>
      <c r="C28" s="30" t="s">
        <v>67</v>
      </c>
      <c r="D28" s="28">
        <v>28000</v>
      </c>
      <c r="E28" s="26"/>
      <c r="F28" s="31"/>
      <c r="G28" s="30" t="s">
        <v>119</v>
      </c>
      <c r="H28" s="25"/>
    </row>
    <row r="29" spans="1:8" x14ac:dyDescent="0.2">
      <c r="A29" s="26">
        <v>11</v>
      </c>
      <c r="B29" s="27"/>
      <c r="C29" s="30" t="s">
        <v>91</v>
      </c>
      <c r="D29" s="28">
        <v>5000</v>
      </c>
      <c r="E29" s="26"/>
      <c r="F29" s="31"/>
      <c r="G29" s="30" t="s">
        <v>120</v>
      </c>
      <c r="H29" s="25"/>
    </row>
    <row r="30" spans="1:8" x14ac:dyDescent="0.2">
      <c r="A30" s="26">
        <v>12</v>
      </c>
      <c r="B30" s="27"/>
      <c r="C30" s="30" t="s">
        <v>102</v>
      </c>
      <c r="D30" s="28"/>
      <c r="E30" s="26"/>
      <c r="F30" s="31"/>
      <c r="G30" s="31">
        <v>250000</v>
      </c>
      <c r="H30" s="25"/>
    </row>
    <row r="31" spans="1:8" ht="18.75" x14ac:dyDescent="0.25">
      <c r="A31" s="26">
        <v>13</v>
      </c>
      <c r="B31" s="26"/>
      <c r="C31" s="30" t="s">
        <v>58</v>
      </c>
      <c r="D31" s="26"/>
      <c r="E31" s="39">
        <f>SUM(E19)</f>
        <v>0</v>
      </c>
      <c r="F31" s="39">
        <f>SUM(F20:F30)</f>
        <v>0</v>
      </c>
      <c r="G31" s="39">
        <f>E31-F31</f>
        <v>0</v>
      </c>
      <c r="H31" s="25"/>
    </row>
    <row r="32" spans="1:8" x14ac:dyDescent="0.2">
      <c r="A32" s="22" t="s">
        <v>125</v>
      </c>
      <c r="B32" s="23"/>
      <c r="C32" s="45" t="s">
        <v>108</v>
      </c>
      <c r="D32" s="23"/>
    </row>
    <row r="33" spans="2:6" x14ac:dyDescent="0.2">
      <c r="B33" s="44" t="s">
        <v>105</v>
      </c>
      <c r="C33" s="22" t="s">
        <v>106</v>
      </c>
    </row>
    <row r="34" spans="2:6" x14ac:dyDescent="0.2">
      <c r="B34" s="44" t="s">
        <v>124</v>
      </c>
      <c r="C34" s="22" t="s">
        <v>107</v>
      </c>
    </row>
    <row r="35" spans="2:6" x14ac:dyDescent="0.2">
      <c r="B35" s="44"/>
    </row>
    <row r="36" spans="2:6" x14ac:dyDescent="0.2">
      <c r="B36" s="34" t="s">
        <v>93</v>
      </c>
      <c r="C36" s="34" t="s">
        <v>59</v>
      </c>
      <c r="D36" s="34" t="s">
        <v>94</v>
      </c>
      <c r="F36" s="34" t="s">
        <v>63</v>
      </c>
    </row>
    <row r="37" spans="2:6" x14ac:dyDescent="0.2">
      <c r="B37" s="34" t="s">
        <v>95</v>
      </c>
      <c r="C37" s="34" t="s">
        <v>61</v>
      </c>
      <c r="D37" s="34" t="s">
        <v>60</v>
      </c>
      <c r="F37" s="34" t="s">
        <v>64</v>
      </c>
    </row>
    <row r="38" spans="2:6" x14ac:dyDescent="0.2">
      <c r="B38" s="34"/>
      <c r="C38" s="34"/>
      <c r="D38" s="34"/>
      <c r="F38" s="34"/>
    </row>
    <row r="39" spans="2:6" x14ac:dyDescent="0.2">
      <c r="B39" s="34"/>
      <c r="C39" s="34"/>
      <c r="D39" s="34"/>
      <c r="F39" s="34"/>
    </row>
    <row r="40" spans="2:6" x14ac:dyDescent="0.2">
      <c r="B40" s="34"/>
      <c r="C40" s="34"/>
      <c r="D40" s="34"/>
      <c r="F40" s="34"/>
    </row>
    <row r="41" spans="2:6" x14ac:dyDescent="0.2">
      <c r="B41" s="34" t="s">
        <v>96</v>
      </c>
      <c r="C41" s="34" t="s">
        <v>81</v>
      </c>
      <c r="D41" s="34" t="s">
        <v>62</v>
      </c>
      <c r="F41" s="34" t="s">
        <v>65</v>
      </c>
    </row>
  </sheetData>
  <pageMargins left="0.25" right="0.25" top="0.75" bottom="0.75" header="0.3" footer="0.3"/>
  <pageSetup paperSize="9" scale="53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3ACE-3A1D-4AEE-8AAB-89492DE40314}">
  <sheetPr>
    <pageSetUpPr fitToPage="1"/>
  </sheetPr>
  <dimension ref="A2:H41"/>
  <sheetViews>
    <sheetView topLeftCell="A7" zoomScale="62" zoomScaleNormal="70" workbookViewId="0">
      <selection activeCell="F20" sqref="F20:F30"/>
    </sheetView>
  </sheetViews>
  <sheetFormatPr defaultColWidth="9.14453125" defaultRowHeight="15" x14ac:dyDescent="0.2"/>
  <cols>
    <col min="1" max="1" width="9.14453125" style="22"/>
    <col min="2" max="2" width="22.8671875" style="22" customWidth="1"/>
    <col min="3" max="3" width="51.38671875" style="22" bestFit="1" customWidth="1"/>
    <col min="4" max="4" width="22.59765625" style="22" customWidth="1"/>
    <col min="5" max="5" width="13.85546875" style="22" customWidth="1"/>
    <col min="6" max="6" width="12.64453125" style="22" customWidth="1"/>
    <col min="7" max="7" width="22.05859375" style="22" customWidth="1"/>
    <col min="8" max="16384" width="9.14453125" style="22"/>
  </cols>
  <sheetData>
    <row r="2" spans="1:4" ht="12.75" customHeight="1" x14ac:dyDescent="0.2"/>
    <row r="3" spans="1:4" ht="21" x14ac:dyDescent="0.3">
      <c r="C3" s="42" t="s">
        <v>40</v>
      </c>
      <c r="D3" s="23"/>
    </row>
    <row r="4" spans="1:4" ht="21" x14ac:dyDescent="0.3">
      <c r="C4" s="42" t="s">
        <v>127</v>
      </c>
      <c r="D4" s="23"/>
    </row>
    <row r="5" spans="1:4" x14ac:dyDescent="0.2">
      <c r="C5" s="23"/>
      <c r="D5" s="23"/>
    </row>
    <row r="6" spans="1:4" x14ac:dyDescent="0.2">
      <c r="A6" s="22" t="s">
        <v>128</v>
      </c>
      <c r="D6" s="23"/>
    </row>
    <row r="7" spans="1:4" x14ac:dyDescent="0.2">
      <c r="A7" s="22" t="s">
        <v>97</v>
      </c>
      <c r="D7" s="23"/>
    </row>
    <row r="8" spans="1:4" x14ac:dyDescent="0.2">
      <c r="A8" s="22" t="s">
        <v>101</v>
      </c>
      <c r="D8" s="23"/>
    </row>
    <row r="9" spans="1:4" x14ac:dyDescent="0.2">
      <c r="A9" s="22" t="s">
        <v>109</v>
      </c>
      <c r="D9" s="23"/>
    </row>
    <row r="10" spans="1:4" x14ac:dyDescent="0.2">
      <c r="C10" s="23"/>
      <c r="D10" s="23"/>
    </row>
    <row r="11" spans="1:4" x14ac:dyDescent="0.2">
      <c r="A11" s="24" t="s">
        <v>26</v>
      </c>
      <c r="B11" s="24" t="s">
        <v>47</v>
      </c>
      <c r="C11" s="24" t="s">
        <v>41</v>
      </c>
      <c r="D11" s="24" t="s">
        <v>48</v>
      </c>
    </row>
    <row r="12" spans="1:4" x14ac:dyDescent="0.2">
      <c r="A12" s="26">
        <v>1</v>
      </c>
      <c r="B12" s="30" t="s">
        <v>90</v>
      </c>
      <c r="C12" s="27">
        <v>45884</v>
      </c>
      <c r="D12" s="31"/>
    </row>
    <row r="13" spans="1:4" x14ac:dyDescent="0.2">
      <c r="A13" s="26">
        <v>2</v>
      </c>
      <c r="B13" s="30" t="s">
        <v>51</v>
      </c>
      <c r="C13" s="27">
        <v>45884</v>
      </c>
      <c r="D13" s="31"/>
    </row>
    <row r="14" spans="1:4" x14ac:dyDescent="0.2">
      <c r="A14" s="26">
        <v>3</v>
      </c>
      <c r="B14" s="30" t="s">
        <v>53</v>
      </c>
      <c r="C14" s="27">
        <v>45884</v>
      </c>
      <c r="D14" s="31"/>
    </row>
    <row r="15" spans="1:4" x14ac:dyDescent="0.2">
      <c r="A15" s="26">
        <v>4</v>
      </c>
      <c r="B15" s="30" t="s">
        <v>55</v>
      </c>
      <c r="C15" s="27">
        <v>45884</v>
      </c>
      <c r="D15" s="31"/>
    </row>
    <row r="16" spans="1:4" ht="18.75" x14ac:dyDescent="0.25">
      <c r="A16" s="30" t="s">
        <v>28</v>
      </c>
      <c r="B16" s="26"/>
      <c r="C16" s="26"/>
      <c r="D16" s="39">
        <f>SUM(D12:D15)</f>
        <v>0</v>
      </c>
    </row>
    <row r="18" spans="1:8" x14ac:dyDescent="0.2">
      <c r="A18" s="24" t="s">
        <v>26</v>
      </c>
      <c r="B18" s="24" t="s">
        <v>41</v>
      </c>
      <c r="C18" s="24" t="s">
        <v>42</v>
      </c>
      <c r="D18" s="24" t="s">
        <v>43</v>
      </c>
      <c r="E18" s="40" t="s">
        <v>44</v>
      </c>
      <c r="F18" s="40" t="s">
        <v>45</v>
      </c>
      <c r="G18" s="24" t="s">
        <v>46</v>
      </c>
      <c r="H18" s="25"/>
    </row>
    <row r="19" spans="1:8" x14ac:dyDescent="0.2">
      <c r="A19" s="26">
        <v>1</v>
      </c>
      <c r="B19" s="27">
        <v>45900</v>
      </c>
      <c r="C19" s="30" t="s">
        <v>49</v>
      </c>
      <c r="D19" s="26"/>
      <c r="E19" s="31">
        <f>D16</f>
        <v>0</v>
      </c>
      <c r="F19" s="26"/>
      <c r="G19" s="26"/>
      <c r="H19" s="25"/>
    </row>
    <row r="20" spans="1:8" x14ac:dyDescent="0.2">
      <c r="A20" s="26">
        <v>2</v>
      </c>
      <c r="B20" s="27"/>
      <c r="C20" s="30" t="s">
        <v>50</v>
      </c>
      <c r="D20" s="28">
        <v>28000</v>
      </c>
      <c r="E20" s="29"/>
      <c r="F20" s="31"/>
      <c r="G20" s="30" t="s">
        <v>131</v>
      </c>
      <c r="H20" s="25"/>
    </row>
    <row r="21" spans="1:8" x14ac:dyDescent="0.2">
      <c r="A21" s="26">
        <v>5</v>
      </c>
      <c r="B21" s="27"/>
      <c r="C21" s="30" t="s">
        <v>56</v>
      </c>
      <c r="D21" s="28">
        <v>30000</v>
      </c>
      <c r="E21" s="26"/>
      <c r="F21" s="31"/>
      <c r="G21" s="31" t="s">
        <v>132</v>
      </c>
      <c r="H21" s="25"/>
    </row>
    <row r="22" spans="1:8" x14ac:dyDescent="0.2">
      <c r="A22" s="26">
        <v>4</v>
      </c>
      <c r="B22" s="27"/>
      <c r="C22" s="30" t="s">
        <v>54</v>
      </c>
      <c r="D22" s="28">
        <v>10000</v>
      </c>
      <c r="E22" s="26"/>
      <c r="F22" s="31"/>
      <c r="G22" s="30" t="s">
        <v>133</v>
      </c>
      <c r="H22" s="25"/>
    </row>
    <row r="23" spans="1:8" x14ac:dyDescent="0.2">
      <c r="A23" s="26">
        <v>3</v>
      </c>
      <c r="B23" s="27"/>
      <c r="C23" s="30" t="s">
        <v>52</v>
      </c>
      <c r="D23" s="28">
        <v>6000</v>
      </c>
      <c r="E23" s="26"/>
      <c r="F23" s="31"/>
      <c r="G23" s="41" t="s">
        <v>134</v>
      </c>
      <c r="H23" s="25"/>
    </row>
    <row r="24" spans="1:8" x14ac:dyDescent="0.2">
      <c r="A24" s="26">
        <v>6</v>
      </c>
      <c r="B24" s="27"/>
      <c r="C24" s="30" t="s">
        <v>84</v>
      </c>
      <c r="D24" s="28">
        <v>5000</v>
      </c>
      <c r="E24" s="26"/>
      <c r="F24" s="31"/>
      <c r="G24" s="30" t="s">
        <v>135</v>
      </c>
      <c r="H24" s="25"/>
    </row>
    <row r="25" spans="1:8" x14ac:dyDescent="0.2">
      <c r="A25" s="26">
        <v>7</v>
      </c>
      <c r="B25" s="27"/>
      <c r="C25" s="30" t="s">
        <v>82</v>
      </c>
      <c r="D25" s="28">
        <v>5000</v>
      </c>
      <c r="E25" s="26"/>
      <c r="F25" s="31"/>
      <c r="G25" s="30" t="s">
        <v>135</v>
      </c>
      <c r="H25" s="25"/>
    </row>
    <row r="26" spans="1:8" x14ac:dyDescent="0.2">
      <c r="A26" s="26">
        <v>8</v>
      </c>
      <c r="B26" s="27"/>
      <c r="C26" s="30" t="s">
        <v>57</v>
      </c>
      <c r="D26" s="28">
        <v>3000</v>
      </c>
      <c r="E26" s="26"/>
      <c r="F26" s="31"/>
      <c r="G26" s="30" t="s">
        <v>136</v>
      </c>
      <c r="H26" s="25"/>
    </row>
    <row r="27" spans="1:8" x14ac:dyDescent="0.2">
      <c r="A27" s="26">
        <v>9</v>
      </c>
      <c r="B27" s="27"/>
      <c r="C27" s="30" t="s">
        <v>66</v>
      </c>
      <c r="D27" s="28">
        <v>3000</v>
      </c>
      <c r="E27" s="26"/>
      <c r="F27" s="31"/>
      <c r="G27" s="30" t="s">
        <v>136</v>
      </c>
      <c r="H27" s="25"/>
    </row>
    <row r="28" spans="1:8" x14ac:dyDescent="0.2">
      <c r="A28" s="26">
        <v>10</v>
      </c>
      <c r="B28" s="27"/>
      <c r="C28" s="30" t="s">
        <v>67</v>
      </c>
      <c r="D28" s="28">
        <v>28000</v>
      </c>
      <c r="E28" s="26"/>
      <c r="F28" s="31"/>
      <c r="G28" s="30" t="s">
        <v>129</v>
      </c>
      <c r="H28" s="25"/>
    </row>
    <row r="29" spans="1:8" x14ac:dyDescent="0.2">
      <c r="A29" s="26">
        <v>11</v>
      </c>
      <c r="B29" s="27"/>
      <c r="C29" s="30" t="s">
        <v>91</v>
      </c>
      <c r="D29" s="28">
        <v>5000</v>
      </c>
      <c r="E29" s="26"/>
      <c r="F29" s="31"/>
      <c r="G29" s="30" t="s">
        <v>120</v>
      </c>
      <c r="H29" s="25"/>
    </row>
    <row r="30" spans="1:8" x14ac:dyDescent="0.2">
      <c r="A30" s="26">
        <v>12</v>
      </c>
      <c r="B30" s="27"/>
      <c r="C30" s="30" t="s">
        <v>102</v>
      </c>
      <c r="D30" s="28"/>
      <c r="E30" s="26"/>
      <c r="F30" s="31"/>
      <c r="G30" s="31">
        <v>250000</v>
      </c>
      <c r="H30" s="25"/>
    </row>
    <row r="31" spans="1:8" ht="18.75" x14ac:dyDescent="0.25">
      <c r="A31" s="26">
        <v>13</v>
      </c>
      <c r="B31" s="26"/>
      <c r="C31" s="30" t="s">
        <v>58</v>
      </c>
      <c r="D31" s="26"/>
      <c r="E31" s="39">
        <f>SUM(E19)</f>
        <v>0</v>
      </c>
      <c r="F31" s="39">
        <f>SUM(F20:F30)</f>
        <v>0</v>
      </c>
      <c r="G31" s="39">
        <f>E31-F31</f>
        <v>0</v>
      </c>
      <c r="H31" s="25"/>
    </row>
    <row r="32" spans="1:8" x14ac:dyDescent="0.2">
      <c r="A32" s="22" t="s">
        <v>125</v>
      </c>
      <c r="B32" s="23"/>
      <c r="C32" s="45" t="s">
        <v>108</v>
      </c>
      <c r="D32" s="23" t="s">
        <v>130</v>
      </c>
      <c r="G32" s="46">
        <v>50000</v>
      </c>
    </row>
    <row r="33" spans="2:7" x14ac:dyDescent="0.2">
      <c r="B33" s="44" t="s">
        <v>105</v>
      </c>
      <c r="C33" s="22" t="s">
        <v>106</v>
      </c>
      <c r="D33" s="22" t="s">
        <v>137</v>
      </c>
      <c r="G33" s="47">
        <f>G31-G32</f>
        <v>-50000</v>
      </c>
    </row>
    <row r="34" spans="2:7" x14ac:dyDescent="0.2">
      <c r="B34" s="44" t="s">
        <v>124</v>
      </c>
      <c r="C34" s="22" t="s">
        <v>107</v>
      </c>
    </row>
    <row r="35" spans="2:7" x14ac:dyDescent="0.2">
      <c r="B35" s="44"/>
    </row>
    <row r="36" spans="2:7" x14ac:dyDescent="0.2">
      <c r="B36" s="34" t="s">
        <v>93</v>
      </c>
      <c r="C36" s="34" t="s">
        <v>59</v>
      </c>
      <c r="D36" s="34" t="s">
        <v>94</v>
      </c>
      <c r="F36" s="34" t="s">
        <v>63</v>
      </c>
    </row>
    <row r="37" spans="2:7" x14ac:dyDescent="0.2">
      <c r="B37" s="34" t="s">
        <v>95</v>
      </c>
      <c r="C37" s="34" t="s">
        <v>61</v>
      </c>
      <c r="D37" s="34" t="s">
        <v>60</v>
      </c>
      <c r="F37" s="34" t="s">
        <v>64</v>
      </c>
    </row>
    <row r="38" spans="2:7" x14ac:dyDescent="0.2">
      <c r="B38" s="34"/>
      <c r="C38" s="34"/>
      <c r="D38" s="34"/>
      <c r="F38" s="34"/>
    </row>
    <row r="39" spans="2:7" x14ac:dyDescent="0.2">
      <c r="B39" s="34"/>
      <c r="C39" s="34"/>
      <c r="D39" s="34"/>
      <c r="F39" s="34"/>
    </row>
    <row r="40" spans="2:7" x14ac:dyDescent="0.2">
      <c r="B40" s="34"/>
      <c r="C40" s="34"/>
      <c r="D40" s="34"/>
      <c r="F40" s="34"/>
    </row>
    <row r="41" spans="2:7" x14ac:dyDescent="0.2">
      <c r="B41" s="34" t="s">
        <v>96</v>
      </c>
      <c r="C41" s="34" t="s">
        <v>81</v>
      </c>
      <c r="D41" s="34" t="s">
        <v>62</v>
      </c>
      <c r="F41" s="34" t="s">
        <v>65</v>
      </c>
    </row>
  </sheetData>
  <pageMargins left="0.25" right="0.25" top="0.75" bottom="0.75" header="0.3" footer="0.3"/>
  <pageSetup paperSize="9" scale="53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C941-933B-47C6-B0F4-113A7DE9FC02}">
  <sheetPr>
    <pageSetUpPr fitToPage="1"/>
  </sheetPr>
  <dimension ref="A2:H38"/>
  <sheetViews>
    <sheetView zoomScale="50" zoomScaleNormal="70" workbookViewId="0">
      <selection activeCell="D12" sqref="D12:D15"/>
    </sheetView>
  </sheetViews>
  <sheetFormatPr defaultColWidth="9.14453125" defaultRowHeight="15" x14ac:dyDescent="0.2"/>
  <cols>
    <col min="1" max="1" width="9.14453125" style="22"/>
    <col min="2" max="2" width="22.8671875" style="22" customWidth="1"/>
    <col min="3" max="3" width="51.38671875" style="22" bestFit="1" customWidth="1"/>
    <col min="4" max="4" width="22.59765625" style="22" customWidth="1"/>
    <col min="5" max="5" width="13.85546875" style="22" customWidth="1"/>
    <col min="6" max="6" width="12.64453125" style="22" customWidth="1"/>
    <col min="7" max="7" width="22.05859375" style="22" customWidth="1"/>
    <col min="8" max="16384" width="9.14453125" style="22"/>
  </cols>
  <sheetData>
    <row r="2" spans="1:4" ht="12.75" customHeight="1" x14ac:dyDescent="0.2"/>
    <row r="3" spans="1:4" ht="21" x14ac:dyDescent="0.3">
      <c r="C3" s="42" t="s">
        <v>40</v>
      </c>
      <c r="D3" s="23"/>
    </row>
    <row r="4" spans="1:4" ht="21" x14ac:dyDescent="0.3">
      <c r="C4" s="42" t="s">
        <v>138</v>
      </c>
      <c r="D4" s="23"/>
    </row>
    <row r="5" spans="1:4" x14ac:dyDescent="0.2">
      <c r="C5" s="23"/>
      <c r="D5" s="23"/>
    </row>
    <row r="6" spans="1:4" x14ac:dyDescent="0.2">
      <c r="A6" s="22" t="s">
        <v>111</v>
      </c>
      <c r="D6" s="23"/>
    </row>
    <row r="7" spans="1:4" x14ac:dyDescent="0.2">
      <c r="A7" s="22" t="s">
        <v>97</v>
      </c>
      <c r="D7" s="23"/>
    </row>
    <row r="8" spans="1:4" x14ac:dyDescent="0.2">
      <c r="A8" s="22" t="s">
        <v>139</v>
      </c>
      <c r="D8" s="23"/>
    </row>
    <row r="9" spans="1:4" x14ac:dyDescent="0.2">
      <c r="A9" s="22" t="s">
        <v>109</v>
      </c>
      <c r="D9" s="23"/>
    </row>
    <row r="10" spans="1:4" x14ac:dyDescent="0.2">
      <c r="C10" s="23"/>
      <c r="D10" s="23"/>
    </row>
    <row r="11" spans="1:4" x14ac:dyDescent="0.2">
      <c r="A11" s="24" t="s">
        <v>26</v>
      </c>
      <c r="B11" s="24" t="s">
        <v>47</v>
      </c>
      <c r="C11" s="24" t="s">
        <v>41</v>
      </c>
      <c r="D11" s="24" t="s">
        <v>48</v>
      </c>
    </row>
    <row r="12" spans="1:4" x14ac:dyDescent="0.2">
      <c r="A12" s="26">
        <v>1</v>
      </c>
      <c r="B12" s="30" t="s">
        <v>90</v>
      </c>
      <c r="C12" s="27">
        <v>45915</v>
      </c>
      <c r="D12" s="31"/>
    </row>
    <row r="13" spans="1:4" x14ac:dyDescent="0.2">
      <c r="A13" s="26">
        <v>2</v>
      </c>
      <c r="B13" s="30" t="s">
        <v>51</v>
      </c>
      <c r="C13" s="27">
        <v>45915</v>
      </c>
      <c r="D13" s="31"/>
    </row>
    <row r="14" spans="1:4" x14ac:dyDescent="0.2">
      <c r="A14" s="26">
        <v>3</v>
      </c>
      <c r="B14" s="30" t="s">
        <v>53</v>
      </c>
      <c r="C14" s="27">
        <v>45915</v>
      </c>
      <c r="D14" s="31"/>
    </row>
    <row r="15" spans="1:4" x14ac:dyDescent="0.2">
      <c r="A15" s="26">
        <v>4</v>
      </c>
      <c r="B15" s="30" t="s">
        <v>55</v>
      </c>
      <c r="C15" s="27">
        <v>45915</v>
      </c>
      <c r="D15" s="31"/>
    </row>
    <row r="16" spans="1:4" ht="18.75" x14ac:dyDescent="0.25">
      <c r="A16" s="30" t="s">
        <v>28</v>
      </c>
      <c r="B16" s="26"/>
      <c r="C16" s="26"/>
      <c r="D16" s="39">
        <f>SUM(D12:D15)</f>
        <v>0</v>
      </c>
    </row>
    <row r="18" spans="1:8" x14ac:dyDescent="0.2">
      <c r="A18" s="24" t="s">
        <v>26</v>
      </c>
      <c r="B18" s="24" t="s">
        <v>41</v>
      </c>
      <c r="C18" s="24" t="s">
        <v>42</v>
      </c>
      <c r="D18" s="24" t="s">
        <v>43</v>
      </c>
      <c r="E18" s="40" t="s">
        <v>44</v>
      </c>
      <c r="F18" s="40" t="s">
        <v>45</v>
      </c>
      <c r="G18" s="24" t="s">
        <v>46</v>
      </c>
      <c r="H18" s="25"/>
    </row>
    <row r="19" spans="1:8" x14ac:dyDescent="0.2">
      <c r="A19" s="26">
        <v>1</v>
      </c>
      <c r="B19" s="27" t="s">
        <v>150</v>
      </c>
      <c r="C19" s="30" t="s">
        <v>49</v>
      </c>
      <c r="D19" s="26"/>
      <c r="E19" s="31">
        <f>D16</f>
        <v>0</v>
      </c>
      <c r="F19" s="26"/>
      <c r="G19" s="26"/>
      <c r="H19" s="25"/>
    </row>
    <row r="20" spans="1:8" x14ac:dyDescent="0.2">
      <c r="A20" s="26">
        <v>2</v>
      </c>
      <c r="B20" s="27"/>
      <c r="C20" s="30" t="s">
        <v>50</v>
      </c>
      <c r="D20" s="28">
        <v>28000</v>
      </c>
      <c r="E20" s="29"/>
      <c r="F20" s="31"/>
      <c r="G20" s="30" t="s">
        <v>121</v>
      </c>
      <c r="H20" s="25"/>
    </row>
    <row r="21" spans="1:8" x14ac:dyDescent="0.2">
      <c r="A21" s="26">
        <v>5</v>
      </c>
      <c r="B21" s="27"/>
      <c r="C21" s="30" t="s">
        <v>56</v>
      </c>
      <c r="D21" s="28">
        <v>30000</v>
      </c>
      <c r="E21" s="26"/>
      <c r="F21" s="31"/>
      <c r="G21" s="31" t="s">
        <v>114</v>
      </c>
      <c r="H21" s="25"/>
    </row>
    <row r="22" spans="1:8" x14ac:dyDescent="0.2">
      <c r="A22" s="26">
        <v>4</v>
      </c>
      <c r="B22" s="27"/>
      <c r="C22" s="30" t="s">
        <v>54</v>
      </c>
      <c r="D22" s="28">
        <v>10000</v>
      </c>
      <c r="E22" s="26"/>
      <c r="F22" s="31"/>
      <c r="G22" s="30" t="s">
        <v>115</v>
      </c>
      <c r="H22" s="25"/>
    </row>
    <row r="23" spans="1:8" x14ac:dyDescent="0.2">
      <c r="A23" s="26">
        <v>3</v>
      </c>
      <c r="B23" s="27"/>
      <c r="C23" s="30" t="s">
        <v>52</v>
      </c>
      <c r="D23" s="28">
        <v>5000</v>
      </c>
      <c r="E23" s="26"/>
      <c r="F23" s="31"/>
      <c r="G23" s="41" t="s">
        <v>100</v>
      </c>
      <c r="H23" s="25"/>
    </row>
    <row r="24" spans="1:8" x14ac:dyDescent="0.2">
      <c r="A24" s="26">
        <v>6</v>
      </c>
      <c r="B24" s="27"/>
      <c r="C24" s="30" t="s">
        <v>84</v>
      </c>
      <c r="D24" s="28">
        <v>5000</v>
      </c>
      <c r="E24" s="26"/>
      <c r="F24" s="31"/>
      <c r="G24" s="30" t="s">
        <v>140</v>
      </c>
      <c r="H24" s="25"/>
    </row>
    <row r="25" spans="1:8" x14ac:dyDescent="0.2">
      <c r="A25" s="26">
        <v>7</v>
      </c>
      <c r="B25" s="27"/>
      <c r="C25" s="30" t="s">
        <v>82</v>
      </c>
      <c r="D25" s="28">
        <v>5000</v>
      </c>
      <c r="E25" s="26"/>
      <c r="F25" s="31"/>
      <c r="G25" s="30" t="s">
        <v>140</v>
      </c>
      <c r="H25" s="25"/>
    </row>
    <row r="26" spans="1:8" x14ac:dyDescent="0.2">
      <c r="A26" s="26">
        <v>8</v>
      </c>
      <c r="B26" s="27"/>
      <c r="C26" s="30" t="s">
        <v>57</v>
      </c>
      <c r="D26" s="28">
        <v>3000</v>
      </c>
      <c r="E26" s="26"/>
      <c r="F26" s="31"/>
      <c r="G26" s="30" t="s">
        <v>118</v>
      </c>
      <c r="H26" s="25"/>
    </row>
    <row r="27" spans="1:8" x14ac:dyDescent="0.2">
      <c r="A27" s="26">
        <v>9</v>
      </c>
      <c r="B27" s="27"/>
      <c r="C27" s="30" t="s">
        <v>66</v>
      </c>
      <c r="D27" s="28">
        <v>3000</v>
      </c>
      <c r="E27" s="26"/>
      <c r="F27" s="31"/>
      <c r="G27" s="30" t="s">
        <v>118</v>
      </c>
      <c r="H27" s="25"/>
    </row>
    <row r="28" spans="1:8" x14ac:dyDescent="0.2">
      <c r="A28" s="26">
        <v>10</v>
      </c>
      <c r="B28" s="27"/>
      <c r="C28" s="30" t="s">
        <v>67</v>
      </c>
      <c r="D28" s="28">
        <v>28000</v>
      </c>
      <c r="E28" s="26"/>
      <c r="F28" s="31"/>
      <c r="G28" s="30" t="s">
        <v>119</v>
      </c>
      <c r="H28" s="25"/>
    </row>
    <row r="29" spans="1:8" x14ac:dyDescent="0.2">
      <c r="A29" s="26">
        <v>11</v>
      </c>
      <c r="B29" s="27"/>
      <c r="C29" s="30" t="s">
        <v>91</v>
      </c>
      <c r="D29" s="28">
        <v>5000</v>
      </c>
      <c r="E29" s="26"/>
      <c r="F29" s="31"/>
      <c r="G29" s="30" t="s">
        <v>120</v>
      </c>
      <c r="H29" s="25"/>
    </row>
    <row r="30" spans="1:8" x14ac:dyDescent="0.2">
      <c r="A30" s="26">
        <v>12</v>
      </c>
      <c r="B30" s="27"/>
      <c r="C30" s="30" t="s">
        <v>102</v>
      </c>
      <c r="D30" s="28"/>
      <c r="E30" s="26"/>
      <c r="F30" s="31"/>
      <c r="G30" s="31">
        <v>250000</v>
      </c>
      <c r="H30" s="25"/>
    </row>
    <row r="31" spans="1:8" ht="18.75" x14ac:dyDescent="0.25">
      <c r="A31" s="26">
        <v>13</v>
      </c>
      <c r="B31" s="26"/>
      <c r="C31" s="30" t="s">
        <v>58</v>
      </c>
      <c r="D31" s="26"/>
      <c r="E31" s="39">
        <f>SUM(E19)</f>
        <v>0</v>
      </c>
      <c r="F31" s="39">
        <f>SUM(F20:F30)</f>
        <v>0</v>
      </c>
      <c r="G31" s="39">
        <f>E31-F31</f>
        <v>0</v>
      </c>
      <c r="H31" s="25"/>
    </row>
    <row r="32" spans="1:8" x14ac:dyDescent="0.2">
      <c r="B32" s="44"/>
    </row>
    <row r="33" spans="2:6" x14ac:dyDescent="0.2">
      <c r="B33" s="34" t="s">
        <v>93</v>
      </c>
      <c r="C33" s="34" t="s">
        <v>59</v>
      </c>
      <c r="D33" s="34" t="s">
        <v>94</v>
      </c>
      <c r="F33" s="34" t="s">
        <v>63</v>
      </c>
    </row>
    <row r="34" spans="2:6" x14ac:dyDescent="0.2">
      <c r="B34" s="34" t="s">
        <v>95</v>
      </c>
      <c r="C34" s="34" t="s">
        <v>61</v>
      </c>
      <c r="D34" s="34" t="s">
        <v>60</v>
      </c>
      <c r="F34" s="34" t="s">
        <v>64</v>
      </c>
    </row>
    <row r="35" spans="2:6" x14ac:dyDescent="0.2">
      <c r="B35" s="34"/>
      <c r="C35" s="34"/>
      <c r="D35" s="34"/>
      <c r="F35" s="34"/>
    </row>
    <row r="36" spans="2:6" x14ac:dyDescent="0.2">
      <c r="B36" s="34"/>
      <c r="C36" s="34"/>
      <c r="D36" s="34"/>
      <c r="F36" s="34"/>
    </row>
    <row r="37" spans="2:6" x14ac:dyDescent="0.2">
      <c r="B37" s="34"/>
      <c r="C37" s="34"/>
      <c r="D37" s="34"/>
      <c r="F37" s="34"/>
    </row>
    <row r="38" spans="2:6" x14ac:dyDescent="0.2">
      <c r="B38" s="34" t="s">
        <v>96</v>
      </c>
      <c r="C38" s="34" t="s">
        <v>81</v>
      </c>
      <c r="D38" s="34" t="s">
        <v>62</v>
      </c>
      <c r="F38" s="34" t="s">
        <v>65</v>
      </c>
    </row>
  </sheetData>
  <pageMargins left="0.25" right="0.25" top="0.75" bottom="0.75" header="0.3" footer="0.3"/>
  <pageSetup paperSize="9" scale="53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2CE6-5E70-4EFD-8CE9-C74D0E2B6E57}">
  <sheetPr>
    <pageSetUpPr fitToPage="1"/>
  </sheetPr>
  <dimension ref="A2:H38"/>
  <sheetViews>
    <sheetView topLeftCell="A10" zoomScale="69" zoomScaleNormal="70" workbookViewId="0">
      <selection activeCell="D12" sqref="D12:D15"/>
    </sheetView>
  </sheetViews>
  <sheetFormatPr defaultColWidth="9.14453125" defaultRowHeight="15" x14ac:dyDescent="0.2"/>
  <cols>
    <col min="1" max="1" width="9.14453125" style="22"/>
    <col min="2" max="2" width="22.8671875" style="22" customWidth="1"/>
    <col min="3" max="3" width="51.38671875" style="22" bestFit="1" customWidth="1"/>
    <col min="4" max="4" width="22.59765625" style="22" customWidth="1"/>
    <col min="5" max="5" width="13.85546875" style="22" customWidth="1"/>
    <col min="6" max="6" width="12.64453125" style="22" customWidth="1"/>
    <col min="7" max="7" width="22.05859375" style="22" customWidth="1"/>
    <col min="8" max="16384" width="9.14453125" style="22"/>
  </cols>
  <sheetData>
    <row r="2" spans="1:4" ht="12.75" customHeight="1" x14ac:dyDescent="0.2"/>
    <row r="3" spans="1:4" ht="21" x14ac:dyDescent="0.3">
      <c r="C3" s="42" t="s">
        <v>40</v>
      </c>
      <c r="D3" s="23"/>
    </row>
    <row r="4" spans="1:4" ht="21" x14ac:dyDescent="0.3">
      <c r="C4" s="42" t="s">
        <v>141</v>
      </c>
      <c r="D4" s="23"/>
    </row>
    <row r="5" spans="1:4" x14ac:dyDescent="0.2">
      <c r="C5" s="23"/>
      <c r="D5" s="23"/>
    </row>
    <row r="6" spans="1:4" x14ac:dyDescent="0.2">
      <c r="A6" s="22" t="s">
        <v>111</v>
      </c>
      <c r="D6" s="23"/>
    </row>
    <row r="7" spans="1:4" x14ac:dyDescent="0.2">
      <c r="A7" s="22" t="s">
        <v>144</v>
      </c>
      <c r="D7" s="23"/>
    </row>
    <row r="8" spans="1:4" x14ac:dyDescent="0.2">
      <c r="A8" s="22" t="s">
        <v>142</v>
      </c>
      <c r="D8" s="23"/>
    </row>
    <row r="9" spans="1:4" x14ac:dyDescent="0.2">
      <c r="A9" s="22" t="s">
        <v>143</v>
      </c>
      <c r="D9" s="23"/>
    </row>
    <row r="10" spans="1:4" x14ac:dyDescent="0.2">
      <c r="C10" s="23"/>
      <c r="D10" s="23"/>
    </row>
    <row r="11" spans="1:4" x14ac:dyDescent="0.2">
      <c r="A11" s="24" t="s">
        <v>26</v>
      </c>
      <c r="B11" s="24" t="s">
        <v>47</v>
      </c>
      <c r="C11" s="24" t="s">
        <v>41</v>
      </c>
      <c r="D11" s="24" t="s">
        <v>48</v>
      </c>
    </row>
    <row r="12" spans="1:4" x14ac:dyDescent="0.2">
      <c r="A12" s="26">
        <v>1</v>
      </c>
      <c r="B12" s="30" t="s">
        <v>90</v>
      </c>
      <c r="C12" s="27">
        <v>45945</v>
      </c>
      <c r="D12" s="31"/>
    </row>
    <row r="13" spans="1:4" x14ac:dyDescent="0.2">
      <c r="A13" s="26">
        <v>2</v>
      </c>
      <c r="B13" s="30" t="s">
        <v>51</v>
      </c>
      <c r="C13" s="27">
        <v>45945</v>
      </c>
      <c r="D13" s="31"/>
    </row>
    <row r="14" spans="1:4" x14ac:dyDescent="0.2">
      <c r="A14" s="26">
        <v>3</v>
      </c>
      <c r="B14" s="30" t="s">
        <v>53</v>
      </c>
      <c r="C14" s="27">
        <v>45945</v>
      </c>
      <c r="D14" s="31"/>
    </row>
    <row r="15" spans="1:4" x14ac:dyDescent="0.2">
      <c r="A15" s="26">
        <v>4</v>
      </c>
      <c r="B15" s="30" t="s">
        <v>55</v>
      </c>
      <c r="C15" s="27">
        <v>45945</v>
      </c>
      <c r="D15" s="31"/>
    </row>
    <row r="16" spans="1:4" ht="18.75" x14ac:dyDescent="0.25">
      <c r="A16" s="30" t="s">
        <v>28</v>
      </c>
      <c r="B16" s="26"/>
      <c r="C16" s="26"/>
      <c r="D16" s="39">
        <f>SUM(D12:D15)</f>
        <v>0</v>
      </c>
    </row>
    <row r="18" spans="1:8" x14ac:dyDescent="0.2">
      <c r="A18" s="24" t="s">
        <v>26</v>
      </c>
      <c r="B18" s="24" t="s">
        <v>41</v>
      </c>
      <c r="C18" s="24" t="s">
        <v>42</v>
      </c>
      <c r="D18" s="24" t="s">
        <v>43</v>
      </c>
      <c r="E18" s="40" t="s">
        <v>44</v>
      </c>
      <c r="F18" s="40" t="s">
        <v>45</v>
      </c>
      <c r="G18" s="24" t="s">
        <v>46</v>
      </c>
      <c r="H18" s="25"/>
    </row>
    <row r="19" spans="1:8" x14ac:dyDescent="0.2">
      <c r="A19" s="26">
        <v>1</v>
      </c>
      <c r="B19" s="27">
        <v>45961</v>
      </c>
      <c r="C19" s="30" t="s">
        <v>49</v>
      </c>
      <c r="D19" s="26"/>
      <c r="E19" s="31">
        <f>D16</f>
        <v>0</v>
      </c>
      <c r="F19" s="26"/>
      <c r="G19" s="26"/>
      <c r="H19" s="25"/>
    </row>
    <row r="20" spans="1:8" x14ac:dyDescent="0.2">
      <c r="A20" s="26">
        <v>2</v>
      </c>
      <c r="B20" s="27"/>
      <c r="C20" s="30" t="s">
        <v>50</v>
      </c>
      <c r="D20" s="28">
        <v>28000</v>
      </c>
      <c r="E20" s="29"/>
      <c r="F20" s="31"/>
      <c r="G20" s="30" t="s">
        <v>121</v>
      </c>
      <c r="H20" s="25"/>
    </row>
    <row r="21" spans="1:8" x14ac:dyDescent="0.2">
      <c r="A21" s="26">
        <v>5</v>
      </c>
      <c r="B21" s="27"/>
      <c r="C21" s="30" t="s">
        <v>56</v>
      </c>
      <c r="D21" s="28">
        <v>30000</v>
      </c>
      <c r="E21" s="26"/>
      <c r="F21" s="31"/>
      <c r="G21" s="31" t="s">
        <v>114</v>
      </c>
      <c r="H21" s="25"/>
    </row>
    <row r="22" spans="1:8" x14ac:dyDescent="0.2">
      <c r="A22" s="26">
        <v>4</v>
      </c>
      <c r="B22" s="27"/>
      <c r="C22" s="30" t="s">
        <v>54</v>
      </c>
      <c r="D22" s="28">
        <v>10000</v>
      </c>
      <c r="E22" s="26"/>
      <c r="F22" s="31"/>
      <c r="G22" s="30" t="s">
        <v>115</v>
      </c>
      <c r="H22" s="25"/>
    </row>
    <row r="23" spans="1:8" x14ac:dyDescent="0.2">
      <c r="A23" s="26">
        <v>3</v>
      </c>
      <c r="B23" s="27"/>
      <c r="C23" s="30" t="s">
        <v>52</v>
      </c>
      <c r="D23" s="28">
        <v>5000</v>
      </c>
      <c r="E23" s="26"/>
      <c r="F23" s="31"/>
      <c r="G23" s="41" t="s">
        <v>145</v>
      </c>
      <c r="H23" s="25"/>
    </row>
    <row r="24" spans="1:8" x14ac:dyDescent="0.2">
      <c r="A24" s="26">
        <v>6</v>
      </c>
      <c r="B24" s="27"/>
      <c r="C24" s="30" t="s">
        <v>84</v>
      </c>
      <c r="D24" s="28">
        <v>5000</v>
      </c>
      <c r="E24" s="26"/>
      <c r="F24" s="31"/>
      <c r="G24" s="30" t="s">
        <v>146</v>
      </c>
      <c r="H24" s="25"/>
    </row>
    <row r="25" spans="1:8" x14ac:dyDescent="0.2">
      <c r="A25" s="26">
        <v>7</v>
      </c>
      <c r="B25" s="27"/>
      <c r="C25" s="30" t="s">
        <v>82</v>
      </c>
      <c r="D25" s="28">
        <v>5000</v>
      </c>
      <c r="E25" s="26"/>
      <c r="F25" s="31"/>
      <c r="G25" s="30" t="s">
        <v>146</v>
      </c>
      <c r="H25" s="25"/>
    </row>
    <row r="26" spans="1:8" x14ac:dyDescent="0.2">
      <c r="A26" s="26">
        <v>8</v>
      </c>
      <c r="B26" s="27"/>
      <c r="C26" s="30" t="s">
        <v>57</v>
      </c>
      <c r="D26" s="28">
        <v>3000</v>
      </c>
      <c r="E26" s="26"/>
      <c r="F26" s="31"/>
      <c r="G26" s="30" t="s">
        <v>118</v>
      </c>
      <c r="H26" s="25"/>
    </row>
    <row r="27" spans="1:8" x14ac:dyDescent="0.2">
      <c r="A27" s="26">
        <v>9</v>
      </c>
      <c r="B27" s="27"/>
      <c r="C27" s="30" t="s">
        <v>66</v>
      </c>
      <c r="D27" s="28">
        <v>3000</v>
      </c>
      <c r="E27" s="26"/>
      <c r="F27" s="31"/>
      <c r="G27" s="30" t="s">
        <v>118</v>
      </c>
      <c r="H27" s="25"/>
    </row>
    <row r="28" spans="1:8" x14ac:dyDescent="0.2">
      <c r="A28" s="26">
        <v>10</v>
      </c>
      <c r="B28" s="27"/>
      <c r="C28" s="30" t="s">
        <v>67</v>
      </c>
      <c r="D28" s="28">
        <v>28000</v>
      </c>
      <c r="E28" s="26"/>
      <c r="F28" s="31"/>
      <c r="G28" s="30" t="s">
        <v>119</v>
      </c>
      <c r="H28" s="25"/>
    </row>
    <row r="29" spans="1:8" x14ac:dyDescent="0.2">
      <c r="A29" s="26">
        <v>11</v>
      </c>
      <c r="B29" s="27"/>
      <c r="C29" s="30" t="s">
        <v>91</v>
      </c>
      <c r="D29" s="28">
        <v>5000</v>
      </c>
      <c r="E29" s="26"/>
      <c r="F29" s="31"/>
      <c r="G29" s="30" t="s">
        <v>120</v>
      </c>
      <c r="H29" s="25"/>
    </row>
    <row r="30" spans="1:8" x14ac:dyDescent="0.2">
      <c r="A30" s="26">
        <v>12</v>
      </c>
      <c r="B30" s="27"/>
      <c r="C30" s="30" t="s">
        <v>102</v>
      </c>
      <c r="D30" s="28"/>
      <c r="E30" s="26"/>
      <c r="F30" s="31"/>
      <c r="G30" s="31">
        <v>250000</v>
      </c>
      <c r="H30" s="25"/>
    </row>
    <row r="31" spans="1:8" ht="18.75" x14ac:dyDescent="0.25">
      <c r="A31" s="26">
        <v>13</v>
      </c>
      <c r="B31" s="26"/>
      <c r="C31" s="30" t="s">
        <v>58</v>
      </c>
      <c r="D31" s="26"/>
      <c r="E31" s="39">
        <f>SUM(E19)</f>
        <v>0</v>
      </c>
      <c r="F31" s="39">
        <f>SUM(F20:F30)</f>
        <v>0</v>
      </c>
      <c r="G31" s="39">
        <f>E31-F31</f>
        <v>0</v>
      </c>
      <c r="H31" s="25"/>
    </row>
    <row r="32" spans="1:8" x14ac:dyDescent="0.2">
      <c r="B32" s="44"/>
    </row>
    <row r="33" spans="2:6" x14ac:dyDescent="0.2">
      <c r="B33" s="34" t="s">
        <v>93</v>
      </c>
      <c r="C33" s="34" t="s">
        <v>59</v>
      </c>
      <c r="D33" s="34" t="s">
        <v>94</v>
      </c>
      <c r="F33" s="34" t="s">
        <v>63</v>
      </c>
    </row>
    <row r="34" spans="2:6" x14ac:dyDescent="0.2">
      <c r="B34" s="34" t="s">
        <v>95</v>
      </c>
      <c r="C34" s="34" t="s">
        <v>61</v>
      </c>
      <c r="D34" s="34" t="s">
        <v>60</v>
      </c>
      <c r="F34" s="34" t="s">
        <v>64</v>
      </c>
    </row>
    <row r="35" spans="2:6" x14ac:dyDescent="0.2">
      <c r="B35" s="34"/>
      <c r="C35" s="34"/>
      <c r="D35" s="34"/>
      <c r="F35" s="34"/>
    </row>
    <row r="36" spans="2:6" x14ac:dyDescent="0.2">
      <c r="B36" s="34"/>
      <c r="C36" s="34"/>
      <c r="D36" s="34"/>
      <c r="F36" s="34"/>
    </row>
    <row r="37" spans="2:6" x14ac:dyDescent="0.2">
      <c r="B37" s="34"/>
      <c r="C37" s="34"/>
      <c r="D37" s="34"/>
      <c r="F37" s="34"/>
    </row>
    <row r="38" spans="2:6" x14ac:dyDescent="0.2">
      <c r="B38" s="34" t="s">
        <v>96</v>
      </c>
      <c r="C38" s="34" t="s">
        <v>81</v>
      </c>
      <c r="D38" s="34" t="s">
        <v>62</v>
      </c>
      <c r="F38" s="34" t="s">
        <v>65</v>
      </c>
    </row>
  </sheetData>
  <pageMargins left="0.25" right="0.25" top="0.75" bottom="0.75" header="0.3" footer="0.3"/>
  <pageSetup paperSize="9" scale="53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BAAE-3F46-4E64-B2C6-52888008CC96}">
  <sheetPr>
    <pageSetUpPr fitToPage="1"/>
  </sheetPr>
  <dimension ref="A2:H41"/>
  <sheetViews>
    <sheetView zoomScale="58" zoomScaleNormal="70" workbookViewId="0">
      <selection activeCell="D12" sqref="D12:D15"/>
    </sheetView>
  </sheetViews>
  <sheetFormatPr defaultColWidth="9.14453125" defaultRowHeight="15" x14ac:dyDescent="0.2"/>
  <cols>
    <col min="1" max="1" width="9.14453125" style="22"/>
    <col min="2" max="2" width="22.8671875" style="22" customWidth="1"/>
    <col min="3" max="3" width="51.38671875" style="22" bestFit="1" customWidth="1"/>
    <col min="4" max="4" width="22.59765625" style="22" customWidth="1"/>
    <col min="5" max="5" width="13.85546875" style="22" customWidth="1"/>
    <col min="6" max="6" width="12.64453125" style="22" customWidth="1"/>
    <col min="7" max="7" width="22.05859375" style="22" customWidth="1"/>
    <col min="8" max="16384" width="9.14453125" style="22"/>
  </cols>
  <sheetData>
    <row r="2" spans="1:4" ht="12.75" customHeight="1" x14ac:dyDescent="0.2"/>
    <row r="3" spans="1:4" ht="21" x14ac:dyDescent="0.3">
      <c r="C3" s="42" t="s">
        <v>40</v>
      </c>
      <c r="D3" s="23"/>
    </row>
    <row r="4" spans="1:4" ht="21" x14ac:dyDescent="0.3">
      <c r="C4" s="42" t="s">
        <v>147</v>
      </c>
      <c r="D4" s="23"/>
    </row>
    <row r="5" spans="1:4" x14ac:dyDescent="0.2">
      <c r="C5" s="23"/>
      <c r="D5" s="23"/>
    </row>
    <row r="6" spans="1:4" x14ac:dyDescent="0.2">
      <c r="A6" s="22" t="s">
        <v>111</v>
      </c>
      <c r="D6" s="23"/>
    </row>
    <row r="7" spans="1:4" x14ac:dyDescent="0.2">
      <c r="A7" s="22" t="s">
        <v>144</v>
      </c>
      <c r="D7" s="23"/>
    </row>
    <row r="8" spans="1:4" x14ac:dyDescent="0.2">
      <c r="A8" s="22" t="s">
        <v>142</v>
      </c>
      <c r="D8" s="23"/>
    </row>
    <row r="9" spans="1:4" x14ac:dyDescent="0.2">
      <c r="A9" s="22" t="s">
        <v>143</v>
      </c>
      <c r="D9" s="23"/>
    </row>
    <row r="10" spans="1:4" x14ac:dyDescent="0.2">
      <c r="C10" s="23"/>
      <c r="D10" s="23"/>
    </row>
    <row r="11" spans="1:4" x14ac:dyDescent="0.2">
      <c r="A11" s="24" t="s">
        <v>26</v>
      </c>
      <c r="B11" s="24" t="s">
        <v>47</v>
      </c>
      <c r="C11" s="24" t="s">
        <v>41</v>
      </c>
      <c r="D11" s="24" t="s">
        <v>48</v>
      </c>
    </row>
    <row r="12" spans="1:4" x14ac:dyDescent="0.2">
      <c r="A12" s="26">
        <v>1</v>
      </c>
      <c r="B12" s="30" t="s">
        <v>90</v>
      </c>
      <c r="C12" s="27">
        <v>45976</v>
      </c>
      <c r="D12" s="31"/>
    </row>
    <row r="13" spans="1:4" x14ac:dyDescent="0.2">
      <c r="A13" s="26">
        <v>2</v>
      </c>
      <c r="B13" s="30" t="s">
        <v>51</v>
      </c>
      <c r="C13" s="27">
        <v>45976</v>
      </c>
      <c r="D13" s="31"/>
    </row>
    <row r="14" spans="1:4" x14ac:dyDescent="0.2">
      <c r="A14" s="26">
        <v>3</v>
      </c>
      <c r="B14" s="30" t="s">
        <v>53</v>
      </c>
      <c r="C14" s="27">
        <v>45976</v>
      </c>
      <c r="D14" s="31"/>
    </row>
    <row r="15" spans="1:4" x14ac:dyDescent="0.2">
      <c r="A15" s="26">
        <v>4</v>
      </c>
      <c r="B15" s="30" t="s">
        <v>55</v>
      </c>
      <c r="C15" s="27">
        <v>45976</v>
      </c>
      <c r="D15" s="31"/>
    </row>
    <row r="16" spans="1:4" ht="18.75" x14ac:dyDescent="0.25">
      <c r="A16" s="30" t="s">
        <v>28</v>
      </c>
      <c r="B16" s="26"/>
      <c r="C16" s="26"/>
      <c r="D16" s="39">
        <f>SUM(D12:D15)</f>
        <v>0</v>
      </c>
    </row>
    <row r="18" spans="1:8" x14ac:dyDescent="0.2">
      <c r="A18" s="24" t="s">
        <v>26</v>
      </c>
      <c r="B18" s="24" t="s">
        <v>41</v>
      </c>
      <c r="C18" s="24" t="s">
        <v>42</v>
      </c>
      <c r="D18" s="24" t="s">
        <v>43</v>
      </c>
      <c r="E18" s="40" t="s">
        <v>44</v>
      </c>
      <c r="F18" s="40" t="s">
        <v>45</v>
      </c>
      <c r="G18" s="24" t="s">
        <v>46</v>
      </c>
      <c r="H18" s="25"/>
    </row>
    <row r="19" spans="1:8" x14ac:dyDescent="0.2">
      <c r="A19" s="26">
        <v>1</v>
      </c>
      <c r="B19" s="27" t="s">
        <v>149</v>
      </c>
      <c r="C19" s="30" t="s">
        <v>49</v>
      </c>
      <c r="D19" s="26"/>
      <c r="E19" s="31">
        <f>D16</f>
        <v>0</v>
      </c>
      <c r="F19" s="26"/>
      <c r="G19" s="26"/>
      <c r="H19" s="25"/>
    </row>
    <row r="20" spans="1:8" x14ac:dyDescent="0.2">
      <c r="A20" s="26">
        <v>2</v>
      </c>
      <c r="B20" s="27"/>
      <c r="C20" s="30" t="s">
        <v>50</v>
      </c>
      <c r="D20" s="28">
        <v>28000</v>
      </c>
      <c r="E20" s="29"/>
      <c r="F20" s="31"/>
      <c r="G20" s="30" t="s">
        <v>121</v>
      </c>
      <c r="H20" s="25"/>
    </row>
    <row r="21" spans="1:8" x14ac:dyDescent="0.2">
      <c r="A21" s="26">
        <v>5</v>
      </c>
      <c r="B21" s="27"/>
      <c r="C21" s="30" t="s">
        <v>56</v>
      </c>
      <c r="D21" s="28">
        <v>30000</v>
      </c>
      <c r="E21" s="26"/>
      <c r="F21" s="31"/>
      <c r="G21" s="31" t="s">
        <v>114</v>
      </c>
      <c r="H21" s="25"/>
    </row>
    <row r="22" spans="1:8" x14ac:dyDescent="0.2">
      <c r="A22" s="26">
        <v>4</v>
      </c>
      <c r="B22" s="27"/>
      <c r="C22" s="30" t="s">
        <v>54</v>
      </c>
      <c r="D22" s="28">
        <v>10000</v>
      </c>
      <c r="E22" s="26"/>
      <c r="F22" s="31"/>
      <c r="G22" s="30" t="s">
        <v>115</v>
      </c>
      <c r="H22" s="25"/>
    </row>
    <row r="23" spans="1:8" x14ac:dyDescent="0.2">
      <c r="A23" s="26">
        <v>3</v>
      </c>
      <c r="B23" s="27"/>
      <c r="C23" s="30" t="s">
        <v>52</v>
      </c>
      <c r="D23" s="28">
        <v>5000</v>
      </c>
      <c r="E23" s="26"/>
      <c r="F23" s="31"/>
      <c r="G23" s="41" t="s">
        <v>145</v>
      </c>
      <c r="H23" s="25"/>
    </row>
    <row r="24" spans="1:8" x14ac:dyDescent="0.2">
      <c r="A24" s="26">
        <v>6</v>
      </c>
      <c r="B24" s="27"/>
      <c r="C24" s="30" t="s">
        <v>84</v>
      </c>
      <c r="D24" s="28">
        <v>5000</v>
      </c>
      <c r="E24" s="26"/>
      <c r="F24" s="31"/>
      <c r="G24" s="30" t="s">
        <v>146</v>
      </c>
      <c r="H24" s="25"/>
    </row>
    <row r="25" spans="1:8" x14ac:dyDescent="0.2">
      <c r="A25" s="26">
        <v>7</v>
      </c>
      <c r="B25" s="27"/>
      <c r="C25" s="30" t="s">
        <v>82</v>
      </c>
      <c r="D25" s="28">
        <v>5000</v>
      </c>
      <c r="E25" s="26"/>
      <c r="F25" s="31"/>
      <c r="G25" s="30" t="s">
        <v>146</v>
      </c>
      <c r="H25" s="25"/>
    </row>
    <row r="26" spans="1:8" x14ac:dyDescent="0.2">
      <c r="A26" s="26">
        <v>8</v>
      </c>
      <c r="B26" s="27"/>
      <c r="C26" s="30" t="s">
        <v>57</v>
      </c>
      <c r="D26" s="28">
        <v>3000</v>
      </c>
      <c r="E26" s="26"/>
      <c r="F26" s="31"/>
      <c r="G26" s="30" t="s">
        <v>118</v>
      </c>
      <c r="H26" s="25"/>
    </row>
    <row r="27" spans="1:8" x14ac:dyDescent="0.2">
      <c r="A27" s="26">
        <v>9</v>
      </c>
      <c r="B27" s="27"/>
      <c r="C27" s="30" t="s">
        <v>66</v>
      </c>
      <c r="D27" s="28">
        <v>3000</v>
      </c>
      <c r="E27" s="26"/>
      <c r="F27" s="31"/>
      <c r="G27" s="30" t="s">
        <v>118</v>
      </c>
      <c r="H27" s="25"/>
    </row>
    <row r="28" spans="1:8" x14ac:dyDescent="0.2">
      <c r="A28" s="26">
        <v>10</v>
      </c>
      <c r="B28" s="27"/>
      <c r="C28" s="30" t="s">
        <v>67</v>
      </c>
      <c r="D28" s="28">
        <v>28000</v>
      </c>
      <c r="E28" s="26"/>
      <c r="F28" s="31"/>
      <c r="G28" s="30" t="s">
        <v>119</v>
      </c>
      <c r="H28" s="25"/>
    </row>
    <row r="29" spans="1:8" x14ac:dyDescent="0.2">
      <c r="A29" s="26">
        <v>11</v>
      </c>
      <c r="B29" s="27"/>
      <c r="C29" s="30" t="s">
        <v>91</v>
      </c>
      <c r="D29" s="28">
        <v>5000</v>
      </c>
      <c r="E29" s="26"/>
      <c r="F29" s="31"/>
      <c r="G29" s="30" t="s">
        <v>120</v>
      </c>
      <c r="H29" s="25"/>
    </row>
    <row r="30" spans="1:8" x14ac:dyDescent="0.2">
      <c r="A30" s="26">
        <v>12</v>
      </c>
      <c r="B30" s="27"/>
      <c r="C30" s="30" t="s">
        <v>102</v>
      </c>
      <c r="D30" s="28"/>
      <c r="E30" s="26"/>
      <c r="F30" s="31">
        <v>250000</v>
      </c>
      <c r="G30" s="31">
        <v>250000</v>
      </c>
      <c r="H30" s="25"/>
    </row>
    <row r="31" spans="1:8" ht="18.75" x14ac:dyDescent="0.25">
      <c r="A31" s="26">
        <v>13</v>
      </c>
      <c r="B31" s="26"/>
      <c r="C31" s="30" t="s">
        <v>58</v>
      </c>
      <c r="D31" s="26"/>
      <c r="E31" s="39">
        <f>SUM(E19)</f>
        <v>0</v>
      </c>
      <c r="F31" s="39">
        <f>SUM(F20:F30)</f>
        <v>250000</v>
      </c>
      <c r="G31" s="39">
        <f>E31-F31</f>
        <v>-250000</v>
      </c>
      <c r="H31" s="25"/>
    </row>
    <row r="32" spans="1:8" x14ac:dyDescent="0.2">
      <c r="A32" s="22" t="s">
        <v>125</v>
      </c>
      <c r="B32" s="23"/>
      <c r="C32" s="45" t="s">
        <v>151</v>
      </c>
      <c r="D32" s="23"/>
    </row>
    <row r="33" spans="2:6" x14ac:dyDescent="0.2">
      <c r="B33" s="44" t="s">
        <v>105</v>
      </c>
      <c r="C33" s="22" t="s">
        <v>156</v>
      </c>
    </row>
    <row r="34" spans="2:6" x14ac:dyDescent="0.2">
      <c r="B34" s="44" t="s">
        <v>124</v>
      </c>
      <c r="C34" s="22" t="s">
        <v>148</v>
      </c>
    </row>
    <row r="35" spans="2:6" x14ac:dyDescent="0.2">
      <c r="B35" s="44"/>
    </row>
    <row r="36" spans="2:6" x14ac:dyDescent="0.2">
      <c r="B36" s="34" t="s">
        <v>93</v>
      </c>
      <c r="C36" s="34" t="s">
        <v>59</v>
      </c>
      <c r="D36" s="34" t="s">
        <v>94</v>
      </c>
      <c r="F36" s="34" t="s">
        <v>63</v>
      </c>
    </row>
    <row r="37" spans="2:6" x14ac:dyDescent="0.2">
      <c r="B37" s="34" t="s">
        <v>95</v>
      </c>
      <c r="C37" s="34" t="s">
        <v>61</v>
      </c>
      <c r="D37" s="34" t="s">
        <v>60</v>
      </c>
      <c r="F37" s="34" t="s">
        <v>64</v>
      </c>
    </row>
    <row r="38" spans="2:6" x14ac:dyDescent="0.2">
      <c r="B38" s="34"/>
      <c r="C38" s="34"/>
      <c r="D38" s="34"/>
      <c r="F38" s="34"/>
    </row>
    <row r="39" spans="2:6" x14ac:dyDescent="0.2">
      <c r="B39" s="34"/>
      <c r="C39" s="34"/>
      <c r="D39" s="34"/>
      <c r="F39" s="34"/>
    </row>
    <row r="40" spans="2:6" x14ac:dyDescent="0.2">
      <c r="B40" s="34"/>
      <c r="C40" s="34"/>
      <c r="D40" s="34"/>
      <c r="F40" s="34"/>
    </row>
    <row r="41" spans="2:6" x14ac:dyDescent="0.2">
      <c r="B41" s="34" t="s">
        <v>96</v>
      </c>
      <c r="C41" s="34" t="s">
        <v>81</v>
      </c>
      <c r="D41" s="34" t="s">
        <v>62</v>
      </c>
      <c r="F41" s="34" t="s">
        <v>65</v>
      </c>
    </row>
  </sheetData>
  <pageMargins left="0.25" right="0.25" top="0.75" bottom="0.75" header="0.3" footer="0.3"/>
  <pageSetup paperSize="9" scale="53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11DB-B263-4DBD-B979-5B82C2495607}">
  <sheetPr>
    <pageSetUpPr fitToPage="1"/>
  </sheetPr>
  <dimension ref="A2:H41"/>
  <sheetViews>
    <sheetView topLeftCell="A15" zoomScale="89" zoomScaleNormal="70" workbookViewId="0">
      <selection activeCell="F20" sqref="F20:F30"/>
    </sheetView>
  </sheetViews>
  <sheetFormatPr defaultColWidth="9.14453125" defaultRowHeight="15" x14ac:dyDescent="0.2"/>
  <cols>
    <col min="1" max="1" width="9.14453125" style="22"/>
    <col min="2" max="2" width="22.8671875" style="22" customWidth="1"/>
    <col min="3" max="3" width="51.38671875" style="22" bestFit="1" customWidth="1"/>
    <col min="4" max="4" width="22.59765625" style="22" customWidth="1"/>
    <col min="5" max="5" width="13.85546875" style="22" customWidth="1"/>
    <col min="6" max="6" width="12.64453125" style="22" customWidth="1"/>
    <col min="7" max="7" width="22.05859375" style="22" customWidth="1"/>
    <col min="8" max="16384" width="9.14453125" style="22"/>
  </cols>
  <sheetData>
    <row r="2" spans="1:4" ht="12.75" customHeight="1" x14ac:dyDescent="0.2"/>
    <row r="3" spans="1:4" ht="21" x14ac:dyDescent="0.3">
      <c r="C3" s="42" t="s">
        <v>40</v>
      </c>
      <c r="D3" s="23"/>
    </row>
    <row r="4" spans="1:4" ht="21" x14ac:dyDescent="0.3">
      <c r="C4" s="42" t="s">
        <v>161</v>
      </c>
      <c r="D4" s="23"/>
    </row>
    <row r="5" spans="1:4" x14ac:dyDescent="0.2">
      <c r="C5" s="23"/>
      <c r="D5" s="23"/>
    </row>
    <row r="6" spans="1:4" x14ac:dyDescent="0.2">
      <c r="A6" s="22" t="s">
        <v>128</v>
      </c>
      <c r="D6" s="23"/>
    </row>
    <row r="7" spans="1:4" x14ac:dyDescent="0.2">
      <c r="A7" s="22" t="s">
        <v>152</v>
      </c>
      <c r="D7" s="23"/>
    </row>
    <row r="8" spans="1:4" x14ac:dyDescent="0.2">
      <c r="A8" s="22" t="s">
        <v>153</v>
      </c>
      <c r="D8" s="23"/>
    </row>
    <row r="9" spans="1:4" x14ac:dyDescent="0.2">
      <c r="A9" s="22" t="s">
        <v>143</v>
      </c>
      <c r="D9" s="23"/>
    </row>
    <row r="10" spans="1:4" x14ac:dyDescent="0.2">
      <c r="C10" s="23"/>
      <c r="D10" s="23"/>
    </row>
    <row r="11" spans="1:4" x14ac:dyDescent="0.2">
      <c r="A11" s="24" t="s">
        <v>26</v>
      </c>
      <c r="B11" s="24" t="s">
        <v>47</v>
      </c>
      <c r="C11" s="24" t="s">
        <v>41</v>
      </c>
      <c r="D11" s="24" t="s">
        <v>48</v>
      </c>
    </row>
    <row r="12" spans="1:4" x14ac:dyDescent="0.2">
      <c r="A12" s="26">
        <v>1</v>
      </c>
      <c r="B12" s="30" t="s">
        <v>90</v>
      </c>
      <c r="C12" s="27">
        <v>46006</v>
      </c>
      <c r="D12" s="31"/>
    </row>
    <row r="13" spans="1:4" x14ac:dyDescent="0.2">
      <c r="A13" s="26">
        <v>2</v>
      </c>
      <c r="B13" s="30" t="s">
        <v>51</v>
      </c>
      <c r="C13" s="27">
        <v>46006</v>
      </c>
      <c r="D13" s="31"/>
    </row>
    <row r="14" spans="1:4" x14ac:dyDescent="0.2">
      <c r="A14" s="26">
        <v>3</v>
      </c>
      <c r="B14" s="30" t="s">
        <v>53</v>
      </c>
      <c r="C14" s="27">
        <v>46006</v>
      </c>
      <c r="D14" s="31"/>
    </row>
    <row r="15" spans="1:4" x14ac:dyDescent="0.2">
      <c r="A15" s="26">
        <v>4</v>
      </c>
      <c r="B15" s="30" t="s">
        <v>55</v>
      </c>
      <c r="C15" s="27">
        <v>46006</v>
      </c>
      <c r="D15" s="31"/>
    </row>
    <row r="16" spans="1:4" ht="18.75" x14ac:dyDescent="0.25">
      <c r="A16" s="30" t="s">
        <v>28</v>
      </c>
      <c r="B16" s="26"/>
      <c r="C16" s="26"/>
      <c r="D16" s="39">
        <f>SUM(D12:D15)</f>
        <v>0</v>
      </c>
    </row>
    <row r="18" spans="1:8" x14ac:dyDescent="0.2">
      <c r="A18" s="24" t="s">
        <v>26</v>
      </c>
      <c r="B18" s="24" t="s">
        <v>41</v>
      </c>
      <c r="C18" s="24" t="s">
        <v>42</v>
      </c>
      <c r="D18" s="24" t="s">
        <v>43</v>
      </c>
      <c r="E18" s="40" t="s">
        <v>44</v>
      </c>
      <c r="F18" s="40" t="s">
        <v>45</v>
      </c>
      <c r="G18" s="24" t="s">
        <v>46</v>
      </c>
      <c r="H18" s="25"/>
    </row>
    <row r="19" spans="1:8" x14ac:dyDescent="0.2">
      <c r="A19" s="26">
        <v>1</v>
      </c>
      <c r="B19" s="27">
        <v>46022</v>
      </c>
      <c r="C19" s="30" t="s">
        <v>49</v>
      </c>
      <c r="D19" s="26"/>
      <c r="E19" s="31">
        <f>D16</f>
        <v>0</v>
      </c>
      <c r="F19" s="26"/>
      <c r="G19" s="26"/>
      <c r="H19" s="25"/>
    </row>
    <row r="20" spans="1:8" x14ac:dyDescent="0.2">
      <c r="A20" s="26">
        <v>2</v>
      </c>
      <c r="B20" s="27"/>
      <c r="C20" s="30" t="s">
        <v>50</v>
      </c>
      <c r="D20" s="28">
        <v>28000</v>
      </c>
      <c r="E20" s="29"/>
      <c r="F20" s="31"/>
      <c r="G20" s="30" t="s">
        <v>131</v>
      </c>
      <c r="H20" s="25"/>
    </row>
    <row r="21" spans="1:8" x14ac:dyDescent="0.2">
      <c r="A21" s="26">
        <v>5</v>
      </c>
      <c r="B21" s="27"/>
      <c r="C21" s="30" t="s">
        <v>56</v>
      </c>
      <c r="D21" s="28">
        <v>30000</v>
      </c>
      <c r="E21" s="26"/>
      <c r="F21" s="31"/>
      <c r="G21" s="31" t="s">
        <v>132</v>
      </c>
      <c r="H21" s="25"/>
    </row>
    <row r="22" spans="1:8" x14ac:dyDescent="0.2">
      <c r="A22" s="26">
        <v>4</v>
      </c>
      <c r="B22" s="27"/>
      <c r="C22" s="30" t="s">
        <v>54</v>
      </c>
      <c r="D22" s="28">
        <v>10000</v>
      </c>
      <c r="E22" s="26"/>
      <c r="F22" s="31"/>
      <c r="G22" s="30" t="s">
        <v>133</v>
      </c>
      <c r="H22" s="25"/>
    </row>
    <row r="23" spans="1:8" x14ac:dyDescent="0.2">
      <c r="A23" s="26">
        <v>3</v>
      </c>
      <c r="B23" s="27"/>
      <c r="C23" s="30" t="s">
        <v>52</v>
      </c>
      <c r="D23" s="28">
        <v>5000</v>
      </c>
      <c r="E23" s="26"/>
      <c r="F23" s="31"/>
      <c r="G23" s="41" t="s">
        <v>154</v>
      </c>
      <c r="H23" s="25"/>
    </row>
    <row r="24" spans="1:8" x14ac:dyDescent="0.2">
      <c r="A24" s="26">
        <v>6</v>
      </c>
      <c r="B24" s="27"/>
      <c r="C24" s="30" t="s">
        <v>84</v>
      </c>
      <c r="D24" s="28">
        <v>5000</v>
      </c>
      <c r="E24" s="26"/>
      <c r="F24" s="31"/>
      <c r="G24" s="30" t="s">
        <v>100</v>
      </c>
      <c r="H24" s="25"/>
    </row>
    <row r="25" spans="1:8" x14ac:dyDescent="0.2">
      <c r="A25" s="26">
        <v>7</v>
      </c>
      <c r="B25" s="27"/>
      <c r="C25" s="30" t="s">
        <v>82</v>
      </c>
      <c r="D25" s="28">
        <v>5000</v>
      </c>
      <c r="E25" s="26"/>
      <c r="F25" s="31"/>
      <c r="G25" s="30" t="s">
        <v>100</v>
      </c>
      <c r="H25" s="25"/>
    </row>
    <row r="26" spans="1:8" x14ac:dyDescent="0.2">
      <c r="A26" s="26">
        <v>8</v>
      </c>
      <c r="B26" s="27"/>
      <c r="C26" s="30" t="s">
        <v>57</v>
      </c>
      <c r="D26" s="28">
        <v>3000</v>
      </c>
      <c r="E26" s="26"/>
      <c r="F26" s="31"/>
      <c r="G26" s="30" t="s">
        <v>136</v>
      </c>
      <c r="H26" s="25"/>
    </row>
    <row r="27" spans="1:8" x14ac:dyDescent="0.2">
      <c r="A27" s="26">
        <v>9</v>
      </c>
      <c r="B27" s="27"/>
      <c r="C27" s="30" t="s">
        <v>66</v>
      </c>
      <c r="D27" s="28">
        <v>3000</v>
      </c>
      <c r="E27" s="26"/>
      <c r="F27" s="31"/>
      <c r="G27" s="30" t="s">
        <v>136</v>
      </c>
      <c r="H27" s="25"/>
    </row>
    <row r="28" spans="1:8" x14ac:dyDescent="0.2">
      <c r="A28" s="26">
        <v>10</v>
      </c>
      <c r="B28" s="27"/>
      <c r="C28" s="30" t="s">
        <v>67</v>
      </c>
      <c r="D28" s="28">
        <v>28000</v>
      </c>
      <c r="E28" s="26"/>
      <c r="F28" s="31"/>
      <c r="G28" s="30" t="s">
        <v>129</v>
      </c>
      <c r="H28" s="25"/>
    </row>
    <row r="29" spans="1:8" x14ac:dyDescent="0.2">
      <c r="A29" s="26">
        <v>11</v>
      </c>
      <c r="B29" s="27"/>
      <c r="C29" s="30" t="s">
        <v>91</v>
      </c>
      <c r="D29" s="28">
        <v>5000</v>
      </c>
      <c r="E29" s="26"/>
      <c r="F29" s="31"/>
      <c r="G29" s="30" t="s">
        <v>155</v>
      </c>
      <c r="H29" s="25"/>
    </row>
    <row r="30" spans="1:8" x14ac:dyDescent="0.2">
      <c r="A30" s="26">
        <v>12</v>
      </c>
      <c r="B30" s="27"/>
      <c r="C30" s="30" t="s">
        <v>102</v>
      </c>
      <c r="D30" s="28"/>
      <c r="E30" s="26"/>
      <c r="F30" s="31"/>
      <c r="G30" s="31">
        <v>250000</v>
      </c>
      <c r="H30" s="25"/>
    </row>
    <row r="31" spans="1:8" ht="18.75" x14ac:dyDescent="0.25">
      <c r="A31" s="26">
        <v>13</v>
      </c>
      <c r="B31" s="26"/>
      <c r="C31" s="30" t="s">
        <v>58</v>
      </c>
      <c r="D31" s="26"/>
      <c r="E31" s="39">
        <f>SUM(E19)</f>
        <v>0</v>
      </c>
      <c r="F31" s="39">
        <f>SUM(F20:F30)</f>
        <v>0</v>
      </c>
      <c r="G31" s="39">
        <f>E31-F31</f>
        <v>0</v>
      </c>
      <c r="H31" s="25"/>
    </row>
    <row r="32" spans="1:8" x14ac:dyDescent="0.2">
      <c r="A32" s="22" t="s">
        <v>159</v>
      </c>
      <c r="B32" s="23"/>
      <c r="C32" s="45" t="s">
        <v>158</v>
      </c>
      <c r="D32" s="23"/>
    </row>
    <row r="33" spans="2:6" x14ac:dyDescent="0.2">
      <c r="B33" s="44" t="s">
        <v>105</v>
      </c>
      <c r="C33" s="22" t="s">
        <v>157</v>
      </c>
    </row>
    <row r="34" spans="2:6" x14ac:dyDescent="0.2">
      <c r="B34" s="44" t="s">
        <v>160</v>
      </c>
      <c r="C34" s="22" t="s">
        <v>148</v>
      </c>
    </row>
    <row r="35" spans="2:6" x14ac:dyDescent="0.2">
      <c r="B35" s="44"/>
    </row>
    <row r="36" spans="2:6" x14ac:dyDescent="0.2">
      <c r="B36" s="34" t="s">
        <v>93</v>
      </c>
      <c r="C36" s="34" t="s">
        <v>59</v>
      </c>
      <c r="D36" s="34" t="s">
        <v>94</v>
      </c>
      <c r="F36" s="34" t="s">
        <v>63</v>
      </c>
    </row>
    <row r="37" spans="2:6" x14ac:dyDescent="0.2">
      <c r="B37" s="34" t="s">
        <v>95</v>
      </c>
      <c r="C37" s="34" t="s">
        <v>61</v>
      </c>
      <c r="D37" s="34" t="s">
        <v>60</v>
      </c>
      <c r="F37" s="34" t="s">
        <v>64</v>
      </c>
    </row>
    <row r="38" spans="2:6" x14ac:dyDescent="0.2">
      <c r="B38" s="34"/>
      <c r="C38" s="34"/>
      <c r="D38" s="34"/>
      <c r="F38" s="34"/>
    </row>
    <row r="39" spans="2:6" x14ac:dyDescent="0.2">
      <c r="B39" s="34"/>
      <c r="C39" s="34"/>
      <c r="D39" s="34"/>
      <c r="F39" s="34"/>
    </row>
    <row r="40" spans="2:6" x14ac:dyDescent="0.2">
      <c r="B40" s="34"/>
      <c r="C40" s="34"/>
      <c r="D40" s="34"/>
      <c r="F40" s="34"/>
    </row>
    <row r="41" spans="2:6" x14ac:dyDescent="0.2">
      <c r="B41" s="34" t="s">
        <v>96</v>
      </c>
      <c r="C41" s="34" t="s">
        <v>81</v>
      </c>
      <c r="D41" s="34" t="s">
        <v>62</v>
      </c>
      <c r="F41" s="34" t="s">
        <v>65</v>
      </c>
    </row>
  </sheetData>
  <pageMargins left="0.25" right="0.25" top="0.75" bottom="0.75" header="0.3" footer="0.3"/>
  <pageSetup paperSize="9" scale="53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D4:P16"/>
  <sheetViews>
    <sheetView zoomScale="80" zoomScaleNormal="80" workbookViewId="0">
      <selection activeCell="H9" sqref="H9"/>
    </sheetView>
  </sheetViews>
  <sheetFormatPr defaultRowHeight="15" x14ac:dyDescent="0.2"/>
  <cols>
    <col min="4" max="4" width="13.85546875" bestFit="1" customWidth="1"/>
    <col min="5" max="5" width="17.484375" bestFit="1" customWidth="1"/>
    <col min="6" max="6" width="18.83203125" bestFit="1" customWidth="1"/>
    <col min="7" max="7" width="17.484375" bestFit="1" customWidth="1"/>
    <col min="8" max="8" width="18.83203125" bestFit="1" customWidth="1"/>
    <col min="9" max="9" width="17.484375" bestFit="1" customWidth="1"/>
    <col min="10" max="10" width="18.83203125" bestFit="1" customWidth="1"/>
    <col min="11" max="11" width="17.484375" bestFit="1" customWidth="1"/>
    <col min="12" max="12" width="18.83203125" bestFit="1" customWidth="1"/>
    <col min="13" max="13" width="17.484375" bestFit="1" customWidth="1"/>
    <col min="14" max="14" width="18.83203125" bestFit="1" customWidth="1"/>
    <col min="15" max="15" width="22.46484375" bestFit="1" customWidth="1"/>
    <col min="16" max="16" width="23.9453125" bestFit="1" customWidth="1"/>
  </cols>
  <sheetData>
    <row r="4" spans="4:16" x14ac:dyDescent="0.2">
      <c r="E4" s="6" t="s">
        <v>23</v>
      </c>
    </row>
    <row r="5" spans="4:16" x14ac:dyDescent="0.2">
      <c r="E5" t="s">
        <v>1</v>
      </c>
      <c r="G5" t="s">
        <v>3</v>
      </c>
      <c r="I5" t="s">
        <v>9</v>
      </c>
      <c r="K5" t="s">
        <v>10</v>
      </c>
      <c r="M5" t="s">
        <v>0</v>
      </c>
      <c r="O5" t="s">
        <v>24</v>
      </c>
      <c r="P5" t="s">
        <v>25</v>
      </c>
    </row>
    <row r="6" spans="4:16" x14ac:dyDescent="0.2">
      <c r="D6" s="6" t="s">
        <v>14</v>
      </c>
      <c r="E6" t="s">
        <v>20</v>
      </c>
      <c r="F6" t="s">
        <v>21</v>
      </c>
      <c r="G6" t="s">
        <v>20</v>
      </c>
      <c r="H6" t="s">
        <v>21</v>
      </c>
      <c r="I6" t="s">
        <v>20</v>
      </c>
      <c r="J6" t="s">
        <v>21</v>
      </c>
      <c r="K6" t="s">
        <v>20</v>
      </c>
      <c r="L6" t="s">
        <v>21</v>
      </c>
      <c r="M6" t="s">
        <v>20</v>
      </c>
      <c r="N6" t="s">
        <v>21</v>
      </c>
    </row>
    <row r="7" spans="4:16" x14ac:dyDescent="0.2">
      <c r="D7" s="7" t="s">
        <v>7</v>
      </c>
      <c r="I7">
        <v>27</v>
      </c>
      <c r="J7">
        <v>3510000</v>
      </c>
      <c r="K7">
        <v>62</v>
      </c>
      <c r="L7">
        <v>8060000</v>
      </c>
      <c r="M7">
        <v>29</v>
      </c>
      <c r="N7">
        <v>3770000</v>
      </c>
      <c r="O7">
        <v>118</v>
      </c>
      <c r="P7">
        <v>15340000</v>
      </c>
    </row>
    <row r="8" spans="4:16" x14ac:dyDescent="0.2">
      <c r="D8" s="7" t="s">
        <v>5</v>
      </c>
      <c r="G8">
        <v>48</v>
      </c>
      <c r="H8">
        <v>7200000</v>
      </c>
      <c r="I8">
        <v>89</v>
      </c>
      <c r="J8">
        <v>13350000</v>
      </c>
      <c r="K8">
        <v>129</v>
      </c>
      <c r="L8">
        <v>19350000</v>
      </c>
      <c r="M8">
        <v>59</v>
      </c>
      <c r="N8">
        <v>8850000</v>
      </c>
      <c r="O8">
        <v>325</v>
      </c>
      <c r="P8">
        <v>48750000</v>
      </c>
    </row>
    <row r="9" spans="4:16" x14ac:dyDescent="0.2">
      <c r="D9" s="7" t="s">
        <v>6</v>
      </c>
      <c r="I9">
        <v>57</v>
      </c>
      <c r="J9">
        <v>7410000</v>
      </c>
      <c r="K9">
        <v>236</v>
      </c>
      <c r="L9">
        <v>30680000</v>
      </c>
      <c r="M9">
        <v>168</v>
      </c>
      <c r="N9">
        <v>21840000</v>
      </c>
      <c r="O9">
        <v>461</v>
      </c>
      <c r="P9">
        <v>59930000</v>
      </c>
    </row>
    <row r="10" spans="4:16" x14ac:dyDescent="0.2">
      <c r="D10" s="7" t="s">
        <v>11</v>
      </c>
      <c r="K10">
        <v>130</v>
      </c>
      <c r="L10">
        <v>16900000</v>
      </c>
      <c r="M10">
        <v>97</v>
      </c>
      <c r="N10">
        <v>12610000</v>
      </c>
      <c r="O10">
        <v>227</v>
      </c>
      <c r="P10">
        <v>29510000</v>
      </c>
    </row>
    <row r="11" spans="4:16" x14ac:dyDescent="0.2">
      <c r="D11" s="7" t="s">
        <v>12</v>
      </c>
      <c r="K11">
        <v>1529</v>
      </c>
      <c r="L11">
        <v>198770000</v>
      </c>
      <c r="M11">
        <v>1109</v>
      </c>
      <c r="N11">
        <v>144170000</v>
      </c>
      <c r="O11">
        <v>2638</v>
      </c>
      <c r="P11">
        <v>342940000</v>
      </c>
    </row>
    <row r="12" spans="4:16" x14ac:dyDescent="0.2">
      <c r="D12" s="7" t="s">
        <v>8</v>
      </c>
      <c r="E12">
        <v>323</v>
      </c>
      <c r="F12">
        <v>31977000</v>
      </c>
      <c r="G12">
        <v>705</v>
      </c>
      <c r="H12">
        <v>69795000</v>
      </c>
      <c r="I12">
        <v>488</v>
      </c>
      <c r="J12">
        <v>56586000</v>
      </c>
      <c r="K12">
        <v>528</v>
      </c>
      <c r="L12">
        <v>60658040</v>
      </c>
      <c r="M12">
        <v>244</v>
      </c>
      <c r="N12">
        <v>31720000</v>
      </c>
      <c r="O12">
        <v>2288</v>
      </c>
      <c r="P12">
        <v>250736040</v>
      </c>
    </row>
    <row r="13" spans="4:16" x14ac:dyDescent="0.2">
      <c r="D13" s="7" t="s">
        <v>13</v>
      </c>
      <c r="K13">
        <v>40</v>
      </c>
      <c r="L13">
        <v>4400000</v>
      </c>
      <c r="M13">
        <v>18</v>
      </c>
      <c r="N13">
        <v>1980000</v>
      </c>
      <c r="O13">
        <v>58</v>
      </c>
      <c r="P13">
        <v>6380000</v>
      </c>
    </row>
    <row r="14" spans="4:16" x14ac:dyDescent="0.2">
      <c r="D14" s="7" t="s">
        <v>22</v>
      </c>
      <c r="K14">
        <v>7</v>
      </c>
      <c r="L14">
        <v>4500000</v>
      </c>
      <c r="M14">
        <v>5</v>
      </c>
      <c r="N14">
        <v>4000000</v>
      </c>
      <c r="O14">
        <v>12</v>
      </c>
      <c r="P14">
        <v>8500000</v>
      </c>
    </row>
    <row r="15" spans="4:16" x14ac:dyDescent="0.2">
      <c r="D15" s="7" t="s">
        <v>4</v>
      </c>
      <c r="E15">
        <v>2124</v>
      </c>
      <c r="F15">
        <v>210276000</v>
      </c>
      <c r="G15">
        <v>3661</v>
      </c>
      <c r="H15">
        <v>362439000</v>
      </c>
      <c r="I15">
        <v>3286</v>
      </c>
      <c r="J15">
        <v>381846000</v>
      </c>
      <c r="K15">
        <v>2057</v>
      </c>
      <c r="L15">
        <v>237265300</v>
      </c>
      <c r="M15">
        <v>1408</v>
      </c>
      <c r="N15">
        <v>168230000</v>
      </c>
      <c r="O15">
        <v>12536</v>
      </c>
      <c r="P15">
        <v>1360056300</v>
      </c>
    </row>
    <row r="16" spans="4:16" x14ac:dyDescent="0.2">
      <c r="D16" s="7" t="s">
        <v>15</v>
      </c>
      <c r="E16">
        <v>2447</v>
      </c>
      <c r="F16">
        <v>242253000</v>
      </c>
      <c r="G16">
        <v>4414</v>
      </c>
      <c r="H16">
        <v>439434000</v>
      </c>
      <c r="I16">
        <v>3947</v>
      </c>
      <c r="J16">
        <v>462702000</v>
      </c>
      <c r="K16">
        <v>4718</v>
      </c>
      <c r="L16">
        <v>580583340</v>
      </c>
      <c r="M16">
        <v>3137</v>
      </c>
      <c r="N16">
        <v>397170000</v>
      </c>
      <c r="O16">
        <v>18663</v>
      </c>
      <c r="P16">
        <v>2122142340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4:O16"/>
  <sheetViews>
    <sheetView zoomScale="80" zoomScaleNormal="80" workbookViewId="0">
      <selection activeCell="H9" sqref="H9"/>
    </sheetView>
  </sheetViews>
  <sheetFormatPr defaultRowHeight="15" x14ac:dyDescent="0.2"/>
  <cols>
    <col min="3" max="3" width="13.85546875" bestFit="1" customWidth="1"/>
    <col min="4" max="4" width="17.484375" bestFit="1" customWidth="1"/>
    <col min="5" max="5" width="18.83203125" bestFit="1" customWidth="1"/>
    <col min="6" max="6" width="17.484375" bestFit="1" customWidth="1"/>
    <col min="7" max="7" width="18.83203125" bestFit="1" customWidth="1"/>
    <col min="8" max="8" width="17.484375" bestFit="1" customWidth="1"/>
    <col min="9" max="9" width="18.83203125" bestFit="1" customWidth="1"/>
    <col min="10" max="10" width="17.484375" bestFit="1" customWidth="1"/>
    <col min="11" max="11" width="18.83203125" bestFit="1" customWidth="1"/>
    <col min="12" max="12" width="17.484375" bestFit="1" customWidth="1"/>
    <col min="13" max="13" width="18.83203125" bestFit="1" customWidth="1"/>
    <col min="14" max="14" width="22.46484375" bestFit="1" customWidth="1"/>
    <col min="15" max="15" width="23.9453125" bestFit="1" customWidth="1"/>
  </cols>
  <sheetData>
    <row r="4" spans="3:15" x14ac:dyDescent="0.2">
      <c r="D4" s="6" t="s">
        <v>23</v>
      </c>
    </row>
    <row r="5" spans="3:15" x14ac:dyDescent="0.2">
      <c r="D5" t="s">
        <v>1</v>
      </c>
      <c r="F5" t="s">
        <v>3</v>
      </c>
      <c r="H5" t="s">
        <v>9</v>
      </c>
      <c r="J5" t="s">
        <v>10</v>
      </c>
      <c r="L5" t="s">
        <v>0</v>
      </c>
      <c r="N5" t="s">
        <v>24</v>
      </c>
      <c r="O5" t="s">
        <v>25</v>
      </c>
    </row>
    <row r="6" spans="3:15" x14ac:dyDescent="0.2">
      <c r="C6" s="6" t="s">
        <v>14</v>
      </c>
      <c r="D6" t="s">
        <v>20</v>
      </c>
      <c r="E6" t="s">
        <v>21</v>
      </c>
      <c r="F6" t="s">
        <v>20</v>
      </c>
      <c r="G6" t="s">
        <v>21</v>
      </c>
      <c r="H6" t="s">
        <v>20</v>
      </c>
      <c r="I6" t="s">
        <v>21</v>
      </c>
      <c r="J6" t="s">
        <v>20</v>
      </c>
      <c r="K6" t="s">
        <v>21</v>
      </c>
      <c r="L6" t="s">
        <v>20</v>
      </c>
      <c r="M6" t="s">
        <v>21</v>
      </c>
    </row>
    <row r="7" spans="3:15" x14ac:dyDescent="0.2">
      <c r="C7" s="7" t="s">
        <v>7</v>
      </c>
      <c r="H7">
        <v>27</v>
      </c>
      <c r="I7">
        <v>3510000</v>
      </c>
      <c r="J7">
        <v>62</v>
      </c>
      <c r="K7">
        <v>8060000</v>
      </c>
      <c r="L7">
        <v>33</v>
      </c>
      <c r="M7">
        <v>4290000</v>
      </c>
      <c r="N7">
        <v>122</v>
      </c>
      <c r="O7">
        <v>15860000</v>
      </c>
    </row>
    <row r="8" spans="3:15" x14ac:dyDescent="0.2">
      <c r="C8" s="7" t="s">
        <v>5</v>
      </c>
      <c r="F8">
        <v>48</v>
      </c>
      <c r="G8">
        <v>7200000</v>
      </c>
      <c r="H8">
        <v>89</v>
      </c>
      <c r="I8">
        <v>13350000</v>
      </c>
      <c r="J8">
        <v>129</v>
      </c>
      <c r="K8">
        <v>19350000</v>
      </c>
      <c r="L8">
        <v>68</v>
      </c>
      <c r="M8">
        <v>10200000</v>
      </c>
      <c r="N8">
        <v>334</v>
      </c>
      <c r="O8">
        <v>50100000</v>
      </c>
    </row>
    <row r="9" spans="3:15" x14ac:dyDescent="0.2">
      <c r="C9" s="7" t="s">
        <v>6</v>
      </c>
      <c r="H9">
        <v>57</v>
      </c>
      <c r="I9">
        <v>7410000</v>
      </c>
      <c r="J9">
        <v>236</v>
      </c>
      <c r="K9">
        <v>30680000</v>
      </c>
      <c r="L9">
        <v>185</v>
      </c>
      <c r="M9">
        <v>24050000</v>
      </c>
      <c r="N9">
        <v>478</v>
      </c>
      <c r="O9">
        <v>62140000</v>
      </c>
    </row>
    <row r="10" spans="3:15" x14ac:dyDescent="0.2">
      <c r="C10" s="7" t="s">
        <v>11</v>
      </c>
      <c r="J10">
        <v>130</v>
      </c>
      <c r="K10">
        <v>16900000</v>
      </c>
      <c r="L10">
        <v>106</v>
      </c>
      <c r="M10">
        <v>13780000</v>
      </c>
      <c r="N10">
        <v>236</v>
      </c>
      <c r="O10">
        <v>30680000</v>
      </c>
    </row>
    <row r="11" spans="3:15" x14ac:dyDescent="0.2">
      <c r="C11" s="7" t="s">
        <v>12</v>
      </c>
      <c r="J11">
        <v>1529</v>
      </c>
      <c r="K11">
        <v>198770000</v>
      </c>
      <c r="L11">
        <v>1214</v>
      </c>
      <c r="M11">
        <v>157820000</v>
      </c>
      <c r="N11">
        <v>2743</v>
      </c>
      <c r="O11">
        <v>356590000</v>
      </c>
    </row>
    <row r="12" spans="3:15" x14ac:dyDescent="0.2">
      <c r="C12" s="7" t="s">
        <v>8</v>
      </c>
      <c r="D12">
        <v>323</v>
      </c>
      <c r="E12">
        <v>31977000</v>
      </c>
      <c r="F12">
        <v>705</v>
      </c>
      <c r="G12">
        <v>69795000</v>
      </c>
      <c r="H12">
        <v>488</v>
      </c>
      <c r="I12">
        <v>56586000</v>
      </c>
      <c r="J12">
        <v>528</v>
      </c>
      <c r="K12">
        <v>60658040</v>
      </c>
      <c r="L12">
        <v>266</v>
      </c>
      <c r="M12">
        <v>34580000</v>
      </c>
      <c r="N12">
        <v>2310</v>
      </c>
      <c r="O12">
        <v>253596040</v>
      </c>
    </row>
    <row r="13" spans="3:15" x14ac:dyDescent="0.2">
      <c r="C13" s="7" t="s">
        <v>13</v>
      </c>
      <c r="J13">
        <v>40</v>
      </c>
      <c r="K13">
        <v>4400000</v>
      </c>
      <c r="L13">
        <v>19</v>
      </c>
      <c r="M13">
        <v>2090000</v>
      </c>
      <c r="N13">
        <v>59</v>
      </c>
      <c r="O13">
        <v>6490000</v>
      </c>
    </row>
    <row r="14" spans="3:15" x14ac:dyDescent="0.2">
      <c r="C14" s="7" t="s">
        <v>22</v>
      </c>
      <c r="J14">
        <v>7</v>
      </c>
      <c r="K14">
        <v>4500000</v>
      </c>
      <c r="L14">
        <v>5</v>
      </c>
      <c r="M14">
        <v>4000000</v>
      </c>
      <c r="N14">
        <v>12</v>
      </c>
      <c r="O14">
        <v>8500000</v>
      </c>
    </row>
    <row r="15" spans="3:15" x14ac:dyDescent="0.2">
      <c r="C15" s="7" t="s">
        <v>4</v>
      </c>
      <c r="D15">
        <v>2124</v>
      </c>
      <c r="E15">
        <v>210276000</v>
      </c>
      <c r="F15">
        <v>3661</v>
      </c>
      <c r="G15">
        <v>362439000</v>
      </c>
      <c r="H15">
        <v>3286</v>
      </c>
      <c r="I15">
        <v>381846000</v>
      </c>
      <c r="J15">
        <v>2057</v>
      </c>
      <c r="K15">
        <v>237265300</v>
      </c>
      <c r="L15">
        <v>1543</v>
      </c>
      <c r="M15">
        <v>185780000</v>
      </c>
      <c r="N15">
        <v>12671</v>
      </c>
      <c r="O15">
        <v>1377606300</v>
      </c>
    </row>
    <row r="16" spans="3:15" x14ac:dyDescent="0.2">
      <c r="C16" s="7" t="s">
        <v>15</v>
      </c>
      <c r="D16">
        <v>2447</v>
      </c>
      <c r="E16">
        <v>242253000</v>
      </c>
      <c r="F16">
        <v>4414</v>
      </c>
      <c r="G16">
        <v>439434000</v>
      </c>
      <c r="H16">
        <v>3947</v>
      </c>
      <c r="I16">
        <v>462702000</v>
      </c>
      <c r="J16">
        <v>4718</v>
      </c>
      <c r="K16">
        <v>580583340</v>
      </c>
      <c r="L16">
        <v>3439</v>
      </c>
      <c r="M16">
        <v>436590000</v>
      </c>
      <c r="N16">
        <v>18965</v>
      </c>
      <c r="O16">
        <v>2161562340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17</vt:i4>
      </vt:variant>
    </vt:vector>
  </HeadingPairs>
  <TitlesOfParts>
    <vt:vector size="17" baseType="lpstr">
      <vt:lpstr>PIVOT 1</vt:lpstr>
      <vt:lpstr>pivot</vt:lpstr>
      <vt:lpstr>RESUME</vt:lpstr>
      <vt:lpstr>JANUARI</vt:lpstr>
      <vt:lpstr>FEB</vt:lpstr>
      <vt:lpstr>MAR</vt:lpstr>
      <vt:lpstr>APR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  <vt:lpstr>PIVOT 2</vt:lpstr>
      <vt:lpstr>PIVOT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dwihanjono</dc:creator>
  <cp:lastModifiedBy>IASH</cp:lastModifiedBy>
  <cp:lastPrinted>2024-01-21T14:53:24Z</cp:lastPrinted>
  <dcterms:created xsi:type="dcterms:W3CDTF">2022-03-11T04:28:45Z</dcterms:created>
  <dcterms:modified xsi:type="dcterms:W3CDTF">2026-06-19T04:15:45Z</dcterms:modified>
</cp:coreProperties>
</file>